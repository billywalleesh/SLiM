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WilliamWallisch\msc_workspace\SLiM\Lab Presentation\"/>
    </mc:Choice>
  </mc:AlternateContent>
  <xr:revisionPtr revIDLastSave="0" documentId="13_ncr:1_{8CED5910-56D3-407C-B678-C381BFCC63A0}" xr6:coauthVersionLast="47" xr6:coauthVersionMax="47" xr10:uidLastSave="{00000000-0000-0000-0000-000000000000}"/>
  <bookViews>
    <workbookView xWindow="28680" yWindow="1575" windowWidth="29040" windowHeight="15720" tabRatio="500" xr2:uid="{00000000-000D-0000-FFFF-FFFF00000000}"/>
  </bookViews>
  <sheets>
    <sheet name="chart data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9" i="1" l="1"/>
  <c r="H11" i="1" s="1"/>
  <c r="H8" i="1"/>
  <c r="H7" i="1"/>
  <c r="H10" i="1" s="1"/>
  <c r="H6" i="1"/>
</calcChain>
</file>

<file path=xl/sharedStrings.xml><?xml version="1.0" encoding="utf-8"?>
<sst xmlns="http://schemas.openxmlformats.org/spreadsheetml/2006/main" count="23" uniqueCount="23">
  <si>
    <t>Year</t>
  </si>
  <si>
    <t>Population size</t>
  </si>
  <si>
    <t>Effective size (Ne proxy)</t>
  </si>
  <si>
    <t>Marker: predictor year</t>
  </si>
  <si>
    <t>Marker: outcome year</t>
  </si>
  <si>
    <t>How to use this file</t>
  </si>
  <si>
    <t>Predictor year</t>
  </si>
  <si>
    <t>Outcome year</t>
  </si>
  <si>
    <t>Population size, predictor year</t>
  </si>
  <si>
    <t>Population size, outcome year</t>
  </si>
  <si>
    <t>Ne proxy, predictor year</t>
  </si>
  <si>
    <t>Ne proxy, outcome year</t>
  </si>
  <si>
    <t>Change in population size</t>
  </si>
  <si>
    <t>Change in Ne proxy</t>
  </si>
  <si>
    <t>Columns D and E hold ONE number each - the population size at the predictor</t>
  </si>
  <si>
    <t>and outcome year. They are deliberately blank everywhere else: that is what</t>
  </si>
  <si>
    <t>makes Excel draw a single dot instead of a line.</t>
  </si>
  <si>
    <t>To move a marker: delete the number from column D or E and retype it on the</t>
  </si>
  <si>
    <t>row you want, then update the yellow cell above so the summary matches.</t>
  </si>
  <si>
    <t>Yellow cells are the only ones you should edit.</t>
  </si>
  <si>
    <t>Source: grib_4pop_ne_ramp_weak_sel050_K500_rep_1_seed_186306227.csv</t>
  </si>
  <si>
    <t>weak migration, selection 0.05, K = 500, summed across the four demes,</t>
  </si>
  <si>
    <t>observed-climate phase only (1970-2025).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</si>
</sst>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Calibri"/>
      <family val="2"/>
      <charset val="1"/>
    </font>
    <font>
      <b/>
      <sz val="11"/>
      <name val="Arial"/>
      <charset val="1"/>
    </font>
    <font>
      <b/>
      <sz val="12"/>
      <name val="Arial"/>
      <charset val="1"/>
    </font>
    <font>
      <sz val="11"/>
      <name val="Arial"/>
      <charset val="1"/>
    </font>
    <font>
      <sz val="10"/>
      <name val="Arial"/>
      <charset val="1"/>
    </font>
    <font>
      <i/>
      <sz val="1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0" xfId="0" applyFont="1"/>
    <xf numFmtId="0" fontId="3" fillId="0" borderId="0" xfId="0" applyFont="1"/>
    <xf numFmtId="0" fontId="1" fillId="2" borderId="0" xfId="0" applyFont="1" applyFill="1"/>
    <xf numFmtId="0" fontId="1" fillId="0" borderId="0" xfId="0" applyFont="1"/>
    <xf numFmtId="164" fontId="1" fillId="0" borderId="0" xfId="0" applyNumberFormat="1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2A78D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'chart data'!$B$1</c:f>
              <c:strCache>
                <c:ptCount val="1"/>
                <c:pt idx="0">
                  <c:v>Population size</c:v>
                </c:pt>
              </c:strCache>
            </c:strRef>
          </c:tx>
          <c:spPr>
            <a:ln w="381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'chart data'!$A$2:$A$57</c:f>
              <c:numCache>
                <c:formatCode>General</c:formatCode>
                <c:ptCount val="56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  <c:pt idx="50">
                  <c:v>2020</c:v>
                </c:pt>
                <c:pt idx="51">
                  <c:v>2021</c:v>
                </c:pt>
                <c:pt idx="52">
                  <c:v>2022</c:v>
                </c:pt>
                <c:pt idx="53">
                  <c:v>2023</c:v>
                </c:pt>
                <c:pt idx="54">
                  <c:v>2024</c:v>
                </c:pt>
                <c:pt idx="55">
                  <c:v>2025</c:v>
                </c:pt>
              </c:numCache>
            </c:numRef>
          </c:cat>
          <c:val>
            <c:numRef>
              <c:f>'chart data'!$B$2:$B$57</c:f>
              <c:numCache>
                <c:formatCode>General</c:formatCode>
                <c:ptCount val="56"/>
                <c:pt idx="0">
                  <c:v>1764</c:v>
                </c:pt>
                <c:pt idx="1">
                  <c:v>1759</c:v>
                </c:pt>
                <c:pt idx="2">
                  <c:v>1734</c:v>
                </c:pt>
                <c:pt idx="3">
                  <c:v>1772</c:v>
                </c:pt>
                <c:pt idx="4">
                  <c:v>1778</c:v>
                </c:pt>
                <c:pt idx="5">
                  <c:v>1784</c:v>
                </c:pt>
                <c:pt idx="6">
                  <c:v>1843</c:v>
                </c:pt>
                <c:pt idx="7">
                  <c:v>1888</c:v>
                </c:pt>
                <c:pt idx="8">
                  <c:v>1897</c:v>
                </c:pt>
                <c:pt idx="9">
                  <c:v>1874</c:v>
                </c:pt>
                <c:pt idx="10">
                  <c:v>1765</c:v>
                </c:pt>
                <c:pt idx="11">
                  <c:v>1831</c:v>
                </c:pt>
                <c:pt idx="12">
                  <c:v>1769</c:v>
                </c:pt>
                <c:pt idx="13">
                  <c:v>1796</c:v>
                </c:pt>
                <c:pt idx="14">
                  <c:v>1720</c:v>
                </c:pt>
                <c:pt idx="15">
                  <c:v>1740</c:v>
                </c:pt>
                <c:pt idx="16">
                  <c:v>1720</c:v>
                </c:pt>
                <c:pt idx="17">
                  <c:v>1703</c:v>
                </c:pt>
                <c:pt idx="18">
                  <c:v>1699</c:v>
                </c:pt>
                <c:pt idx="19">
                  <c:v>1597</c:v>
                </c:pt>
                <c:pt idx="20">
                  <c:v>1575</c:v>
                </c:pt>
                <c:pt idx="21">
                  <c:v>1631</c:v>
                </c:pt>
                <c:pt idx="22">
                  <c:v>1641</c:v>
                </c:pt>
                <c:pt idx="23">
                  <c:v>1687</c:v>
                </c:pt>
                <c:pt idx="24">
                  <c:v>1503</c:v>
                </c:pt>
                <c:pt idx="25">
                  <c:v>1526</c:v>
                </c:pt>
                <c:pt idx="26">
                  <c:v>1577</c:v>
                </c:pt>
                <c:pt idx="27">
                  <c:v>1600</c:v>
                </c:pt>
                <c:pt idx="28">
                  <c:v>1589</c:v>
                </c:pt>
                <c:pt idx="29">
                  <c:v>1608</c:v>
                </c:pt>
                <c:pt idx="30">
                  <c:v>1508</c:v>
                </c:pt>
                <c:pt idx="31">
                  <c:v>1593</c:v>
                </c:pt>
                <c:pt idx="32">
                  <c:v>1603</c:v>
                </c:pt>
                <c:pt idx="33">
                  <c:v>1408</c:v>
                </c:pt>
                <c:pt idx="34">
                  <c:v>1401</c:v>
                </c:pt>
                <c:pt idx="35">
                  <c:v>1451</c:v>
                </c:pt>
                <c:pt idx="36">
                  <c:v>1366</c:v>
                </c:pt>
                <c:pt idx="37">
                  <c:v>1410</c:v>
                </c:pt>
                <c:pt idx="38">
                  <c:v>1434</c:v>
                </c:pt>
                <c:pt idx="39">
                  <c:v>1433</c:v>
                </c:pt>
                <c:pt idx="40">
                  <c:v>1464</c:v>
                </c:pt>
                <c:pt idx="41">
                  <c:v>1231</c:v>
                </c:pt>
                <c:pt idx="42">
                  <c:v>1262</c:v>
                </c:pt>
                <c:pt idx="43">
                  <c:v>1336</c:v>
                </c:pt>
                <c:pt idx="44">
                  <c:v>1234</c:v>
                </c:pt>
                <c:pt idx="45">
                  <c:v>1215</c:v>
                </c:pt>
                <c:pt idx="46">
                  <c:v>1223</c:v>
                </c:pt>
                <c:pt idx="47">
                  <c:v>1221</c:v>
                </c:pt>
                <c:pt idx="48">
                  <c:v>937</c:v>
                </c:pt>
                <c:pt idx="49">
                  <c:v>858</c:v>
                </c:pt>
                <c:pt idx="50">
                  <c:v>863</c:v>
                </c:pt>
                <c:pt idx="51">
                  <c:v>883</c:v>
                </c:pt>
                <c:pt idx="52">
                  <c:v>584</c:v>
                </c:pt>
                <c:pt idx="53">
                  <c:v>522</c:v>
                </c:pt>
                <c:pt idx="54">
                  <c:v>487</c:v>
                </c:pt>
                <c:pt idx="55">
                  <c:v>496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EAE-42BC-821E-5A4989F4800D}"/>
            </c:ext>
          </c:extLst>
        </c:ser>
        <c:ser>
          <c:idx val="1"/>
          <c:order val="1"/>
          <c:tx>
            <c:strRef>
              <c:f>'chart data'!$D$1</c:f>
              <c:strCache>
                <c:ptCount val="1"/>
                <c:pt idx="0">
                  <c:v>Marker: predictor year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Pt>
            <c:idx val="30"/>
            <c:marker>
              <c:symbol val="circle"/>
              <c:size val="10"/>
              <c:spPr>
                <a:solidFill>
                  <a:srgbClr val="2A78D6"/>
                </a:solidFill>
                <a:ln w="25400">
                  <a:solidFill>
                    <a:schemeClr val="bg1"/>
                  </a:solidFill>
                </a:ln>
                <a:effectLst/>
              </c:spPr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8-6EAE-42BC-821E-5A4989F4800D}"/>
              </c:ext>
            </c:extLst>
          </c:dPt>
          <c:errBars>
            <c:errDir val="y"/>
            <c:errBarType val="minus"/>
            <c:errValType val="percentage"/>
            <c:noEndCap val="1"/>
            <c:val val="100"/>
            <c:spPr>
              <a:noFill/>
              <a:ln w="28575" cap="flat" cmpd="sng" algn="ctr">
                <a:solidFill>
                  <a:srgbClr val="2A78D6"/>
                </a:solidFill>
                <a:prstDash val="dash"/>
                <a:round/>
              </a:ln>
              <a:effectLst/>
            </c:spPr>
          </c:errBars>
          <c:cat>
            <c:numRef>
              <c:f>'chart data'!$A$2:$A$57</c:f>
              <c:numCache>
                <c:formatCode>General</c:formatCode>
                <c:ptCount val="56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  <c:pt idx="50">
                  <c:v>2020</c:v>
                </c:pt>
                <c:pt idx="51">
                  <c:v>2021</c:v>
                </c:pt>
                <c:pt idx="52">
                  <c:v>2022</c:v>
                </c:pt>
                <c:pt idx="53">
                  <c:v>2023</c:v>
                </c:pt>
                <c:pt idx="54">
                  <c:v>2024</c:v>
                </c:pt>
                <c:pt idx="55">
                  <c:v>2025</c:v>
                </c:pt>
              </c:numCache>
            </c:numRef>
          </c:cat>
          <c:val>
            <c:numRef>
              <c:f>'chart data'!$D$2:$D$57</c:f>
              <c:numCache>
                <c:formatCode>General</c:formatCode>
                <c:ptCount val="56"/>
                <c:pt idx="30">
                  <c:v>1508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EAE-42BC-821E-5A4989F4800D}"/>
            </c:ext>
          </c:extLst>
        </c:ser>
        <c:ser>
          <c:idx val="2"/>
          <c:order val="2"/>
          <c:tx>
            <c:strRef>
              <c:f>'chart data'!$E$1</c:f>
              <c:strCache>
                <c:ptCount val="1"/>
                <c:pt idx="0">
                  <c:v>Marker: outcome year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Pt>
            <c:idx val="55"/>
            <c:marker>
              <c:symbol val="circle"/>
              <c:size val="10"/>
              <c:spPr>
                <a:solidFill>
                  <a:srgbClr val="2A78D6"/>
                </a:solidFill>
                <a:ln w="25400">
                  <a:solidFill>
                    <a:schemeClr val="bg1"/>
                  </a:solidFill>
                </a:ln>
                <a:effectLst/>
              </c:spPr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6EAE-42BC-821E-5A4989F4800D}"/>
              </c:ext>
            </c:extLst>
          </c:dPt>
          <c:errBars>
            <c:errDir val="y"/>
            <c:errBarType val="minus"/>
            <c:errValType val="percentage"/>
            <c:noEndCap val="0"/>
            <c:val val="100"/>
            <c:spPr>
              <a:noFill/>
              <a:ln w="28575" cap="flat" cmpd="sng" algn="ctr">
                <a:solidFill>
                  <a:srgbClr val="2A78D6"/>
                </a:solidFill>
                <a:prstDash val="dash"/>
                <a:round/>
              </a:ln>
              <a:effectLst/>
            </c:spPr>
          </c:errBars>
          <c:cat>
            <c:numRef>
              <c:f>'chart data'!$A$2:$A$57</c:f>
              <c:numCache>
                <c:formatCode>General</c:formatCode>
                <c:ptCount val="56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  <c:pt idx="50">
                  <c:v>2020</c:v>
                </c:pt>
                <c:pt idx="51">
                  <c:v>2021</c:v>
                </c:pt>
                <c:pt idx="52">
                  <c:v>2022</c:v>
                </c:pt>
                <c:pt idx="53">
                  <c:v>2023</c:v>
                </c:pt>
                <c:pt idx="54">
                  <c:v>2024</c:v>
                </c:pt>
                <c:pt idx="55">
                  <c:v>2025</c:v>
                </c:pt>
              </c:numCache>
            </c:numRef>
          </c:cat>
          <c:val>
            <c:numRef>
              <c:f>'chart data'!$E$2:$E$57</c:f>
              <c:numCache>
                <c:formatCode>General</c:formatCode>
                <c:ptCount val="56"/>
                <c:pt idx="55">
                  <c:v>496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EAE-42BC-821E-5A4989F480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16241408"/>
        <c:axId val="1113307856"/>
      </c:lineChart>
      <c:catAx>
        <c:axId val="11162414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CH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CH"/>
          </a:p>
        </c:txPr>
        <c:crossAx val="1113307856"/>
        <c:crosses val="autoZero"/>
        <c:auto val="1"/>
        <c:lblAlgn val="ctr"/>
        <c:lblOffset val="100"/>
        <c:tickLblSkip val="5"/>
        <c:noMultiLvlLbl val="0"/>
      </c:catAx>
      <c:valAx>
        <c:axId val="1113307856"/>
        <c:scaling>
          <c:orientation val="minMax"/>
          <c:max val="2450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Population Size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CH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CH"/>
          </a:p>
        </c:txPr>
        <c:crossAx val="1116241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rot="2700000"/>
    <a:lstStyle/>
    <a:p>
      <a:pPr>
        <a:defRPr sz="2400">
          <a:latin typeface="Arial" panose="020B0604020202020204" pitchFamily="34" charset="0"/>
          <a:cs typeface="Arial" panose="020B0604020202020204" pitchFamily="34" charset="0"/>
        </a:defRPr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341779</xdr:colOff>
      <xdr:row>9</xdr:row>
      <xdr:rowOff>82642</xdr:rowOff>
    </xdr:from>
    <xdr:to>
      <xdr:col>37</xdr:col>
      <xdr:colOff>127840</xdr:colOff>
      <xdr:row>51</xdr:row>
      <xdr:rowOff>159684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D7C61D4-0B0C-9CFF-8688-666C3F5922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7"/>
  <sheetViews>
    <sheetView tabSelected="1" topLeftCell="D1" zoomScale="55" zoomScaleNormal="55" workbookViewId="0">
      <pane ySplit="1" topLeftCell="A9" activePane="bottomLeft" state="frozen"/>
      <selection pane="bottomLeft" activeCell="H58" sqref="H58"/>
    </sheetView>
  </sheetViews>
  <sheetFormatPr defaultColWidth="8.6328125" defaultRowHeight="14.5" x14ac:dyDescent="0.35"/>
  <cols>
    <col min="1" max="1" width="9" customWidth="1"/>
    <col min="2" max="2" width="17" customWidth="1"/>
    <col min="3" max="3" width="22" customWidth="1"/>
    <col min="4" max="5" width="20" customWidth="1"/>
    <col min="7" max="7" width="38" customWidth="1"/>
    <col min="8" max="8" width="12" customWidth="1"/>
  </cols>
  <sheetData>
    <row r="1" spans="1:8" ht="28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2" t="s">
        <v>5</v>
      </c>
    </row>
    <row r="2" spans="1:8" x14ac:dyDescent="0.35">
      <c r="A2" s="3">
        <v>1970</v>
      </c>
      <c r="B2" s="3">
        <v>1764</v>
      </c>
      <c r="C2" s="3">
        <v>2000.8</v>
      </c>
    </row>
    <row r="3" spans="1:8" x14ac:dyDescent="0.35">
      <c r="A3" s="3">
        <v>1971</v>
      </c>
      <c r="B3" s="3">
        <v>1759</v>
      </c>
      <c r="C3" s="3">
        <v>2014.5</v>
      </c>
      <c r="G3" s="3" t="s">
        <v>6</v>
      </c>
      <c r="H3" s="4">
        <v>2000</v>
      </c>
    </row>
    <row r="4" spans="1:8" x14ac:dyDescent="0.35">
      <c r="A4" s="3">
        <v>1972</v>
      </c>
      <c r="B4" s="3">
        <v>1734</v>
      </c>
      <c r="C4" s="3">
        <v>2048.8000000000002</v>
      </c>
      <c r="G4" s="3" t="s">
        <v>7</v>
      </c>
      <c r="H4" s="4">
        <v>2025</v>
      </c>
    </row>
    <row r="5" spans="1:8" x14ac:dyDescent="0.35">
      <c r="A5" s="3">
        <v>1973</v>
      </c>
      <c r="B5" s="3">
        <v>1772</v>
      </c>
      <c r="C5" s="3">
        <v>2083.6999999999998</v>
      </c>
    </row>
    <row r="6" spans="1:8" x14ac:dyDescent="0.35">
      <c r="A6" s="3">
        <v>1974</v>
      </c>
      <c r="B6" s="3">
        <v>1778</v>
      </c>
      <c r="C6" s="3">
        <v>2096.4</v>
      </c>
      <c r="G6" s="3" t="s">
        <v>8</v>
      </c>
      <c r="H6" s="5">
        <f>INDEX($B$2:$B$57,MATCH($H$3,$A$2:$A$57,0))</f>
        <v>1508</v>
      </c>
    </row>
    <row r="7" spans="1:8" x14ac:dyDescent="0.35">
      <c r="A7" s="3">
        <v>1975</v>
      </c>
      <c r="B7" s="3">
        <v>1784</v>
      </c>
      <c r="C7" s="3">
        <v>2108.1999999999998</v>
      </c>
      <c r="G7" s="3" t="s">
        <v>9</v>
      </c>
      <c r="H7" s="5">
        <f>INDEX($B$2:$B$57,MATCH($H$4,$A$2:$A$57,0))</f>
        <v>496</v>
      </c>
    </row>
    <row r="8" spans="1:8" x14ac:dyDescent="0.35">
      <c r="A8" s="3">
        <v>1976</v>
      </c>
      <c r="B8" s="3">
        <v>1843</v>
      </c>
      <c r="C8" s="3">
        <v>2071.9</v>
      </c>
      <c r="G8" s="3" t="s">
        <v>10</v>
      </c>
      <c r="H8" s="5">
        <f>INDEX($C$2:$C$57,MATCH($H$3,$A$2:$A$57,0))</f>
        <v>2173.3000000000002</v>
      </c>
    </row>
    <row r="9" spans="1:8" x14ac:dyDescent="0.35">
      <c r="A9" s="3">
        <v>1977</v>
      </c>
      <c r="B9" s="3">
        <v>1888</v>
      </c>
      <c r="C9" s="3">
        <v>2053.1999999999998</v>
      </c>
      <c r="G9" s="3" t="s">
        <v>11</v>
      </c>
      <c r="H9" s="5">
        <f>INDEX($C$2:$C$57,MATCH($H$4,$A$2:$A$57,0))</f>
        <v>1181</v>
      </c>
    </row>
    <row r="10" spans="1:8" x14ac:dyDescent="0.35">
      <c r="A10" s="3">
        <v>1978</v>
      </c>
      <c r="B10" s="3">
        <v>1897</v>
      </c>
      <c r="C10" s="3">
        <v>2050.3000000000002</v>
      </c>
      <c r="G10" s="3" t="s">
        <v>12</v>
      </c>
      <c r="H10" s="6">
        <f>H7/H6</f>
        <v>0.32891246684350134</v>
      </c>
    </row>
    <row r="11" spans="1:8" x14ac:dyDescent="0.35">
      <c r="A11" s="3">
        <v>1979</v>
      </c>
      <c r="B11" s="3">
        <v>1874</v>
      </c>
      <c r="C11" s="3">
        <v>2095.9</v>
      </c>
      <c r="G11" s="3" t="s">
        <v>13</v>
      </c>
      <c r="H11" s="6">
        <f>H9/H8</f>
        <v>0.5434132425343946</v>
      </c>
    </row>
    <row r="12" spans="1:8" x14ac:dyDescent="0.35">
      <c r="A12" s="3">
        <v>1980</v>
      </c>
      <c r="B12" s="3">
        <v>1765</v>
      </c>
      <c r="C12" s="3">
        <v>2013.6</v>
      </c>
    </row>
    <row r="13" spans="1:8" x14ac:dyDescent="0.35">
      <c r="A13" s="3">
        <v>1981</v>
      </c>
      <c r="B13" s="3">
        <v>1831</v>
      </c>
      <c r="C13" s="3">
        <v>2019.2</v>
      </c>
      <c r="G13" s="7"/>
    </row>
    <row r="14" spans="1:8" x14ac:dyDescent="0.35">
      <c r="A14" s="3">
        <v>1982</v>
      </c>
      <c r="B14" s="3">
        <v>1769</v>
      </c>
      <c r="C14" s="3">
        <v>2047.2</v>
      </c>
      <c r="G14" s="7" t="s">
        <v>14</v>
      </c>
    </row>
    <row r="15" spans="1:8" x14ac:dyDescent="0.35">
      <c r="A15" s="3">
        <v>1983</v>
      </c>
      <c r="B15" s="3">
        <v>1796</v>
      </c>
      <c r="C15" s="3">
        <v>2066</v>
      </c>
      <c r="G15" s="7" t="s">
        <v>15</v>
      </c>
    </row>
    <row r="16" spans="1:8" x14ac:dyDescent="0.35">
      <c r="A16" s="3">
        <v>1984</v>
      </c>
      <c r="B16" s="3">
        <v>1720</v>
      </c>
      <c r="C16" s="3">
        <v>2067.5</v>
      </c>
      <c r="G16" s="7" t="s">
        <v>16</v>
      </c>
    </row>
    <row r="17" spans="1:7" x14ac:dyDescent="0.35">
      <c r="A17" s="3">
        <v>1985</v>
      </c>
      <c r="B17" s="3">
        <v>1740</v>
      </c>
      <c r="C17" s="3">
        <v>2051.5</v>
      </c>
      <c r="G17" s="7"/>
    </row>
    <row r="18" spans="1:7" x14ac:dyDescent="0.35">
      <c r="A18" s="3">
        <v>1986</v>
      </c>
      <c r="B18" s="3">
        <v>1720</v>
      </c>
      <c r="C18" s="3">
        <v>1988.2</v>
      </c>
      <c r="G18" s="7" t="s">
        <v>17</v>
      </c>
    </row>
    <row r="19" spans="1:7" x14ac:dyDescent="0.35">
      <c r="A19" s="3">
        <v>1987</v>
      </c>
      <c r="B19" s="3">
        <v>1703</v>
      </c>
      <c r="C19" s="3">
        <v>2023.8</v>
      </c>
      <c r="G19" s="7" t="s">
        <v>18</v>
      </c>
    </row>
    <row r="20" spans="1:7" x14ac:dyDescent="0.35">
      <c r="A20" s="3">
        <v>1988</v>
      </c>
      <c r="B20" s="3">
        <v>1699</v>
      </c>
      <c r="C20" s="3">
        <v>2054.1</v>
      </c>
      <c r="G20" s="7"/>
    </row>
    <row r="21" spans="1:7" x14ac:dyDescent="0.35">
      <c r="A21" s="3">
        <v>1989</v>
      </c>
      <c r="B21" s="3">
        <v>1597</v>
      </c>
      <c r="C21" s="3">
        <v>2101.5</v>
      </c>
      <c r="G21" s="7" t="s">
        <v>19</v>
      </c>
    </row>
    <row r="22" spans="1:7" x14ac:dyDescent="0.35">
      <c r="A22" s="3">
        <v>1990</v>
      </c>
      <c r="B22" s="3">
        <v>1575</v>
      </c>
      <c r="C22" s="3">
        <v>2106.1</v>
      </c>
      <c r="G22" s="7"/>
    </row>
    <row r="23" spans="1:7" x14ac:dyDescent="0.35">
      <c r="A23" s="3">
        <v>1991</v>
      </c>
      <c r="B23" s="3">
        <v>1631</v>
      </c>
      <c r="C23" s="3">
        <v>2124.8000000000002</v>
      </c>
      <c r="G23" s="8" t="s">
        <v>20</v>
      </c>
    </row>
    <row r="24" spans="1:7" x14ac:dyDescent="0.35">
      <c r="A24" s="3">
        <v>1992</v>
      </c>
      <c r="B24" s="3">
        <v>1641</v>
      </c>
      <c r="C24" s="3">
        <v>2179.1999999999998</v>
      </c>
      <c r="G24" s="8" t="s">
        <v>21</v>
      </c>
    </row>
    <row r="25" spans="1:7" x14ac:dyDescent="0.35">
      <c r="A25" s="3">
        <v>1993</v>
      </c>
      <c r="B25" s="3">
        <v>1687</v>
      </c>
      <c r="C25" s="3">
        <v>2174.8000000000002</v>
      </c>
      <c r="G25" s="8" t="s">
        <v>22</v>
      </c>
    </row>
    <row r="26" spans="1:7" x14ac:dyDescent="0.35">
      <c r="A26" s="3">
        <v>1994</v>
      </c>
      <c r="B26" s="3">
        <v>1503</v>
      </c>
      <c r="C26" s="3">
        <v>2140.4</v>
      </c>
    </row>
    <row r="27" spans="1:7" x14ac:dyDescent="0.35">
      <c r="A27" s="3">
        <v>1995</v>
      </c>
      <c r="B27" s="3">
        <v>1526</v>
      </c>
      <c r="C27" s="3">
        <v>2177.1999999999998</v>
      </c>
    </row>
    <row r="28" spans="1:7" x14ac:dyDescent="0.35">
      <c r="A28" s="3">
        <v>1996</v>
      </c>
      <c r="B28" s="3">
        <v>1577</v>
      </c>
      <c r="C28" s="3">
        <v>2205</v>
      </c>
    </row>
    <row r="29" spans="1:7" x14ac:dyDescent="0.35">
      <c r="A29" s="3">
        <v>1997</v>
      </c>
      <c r="B29" s="3">
        <v>1600</v>
      </c>
      <c r="C29" s="3">
        <v>2162.4</v>
      </c>
    </row>
    <row r="30" spans="1:7" x14ac:dyDescent="0.35">
      <c r="A30" s="3">
        <v>1998</v>
      </c>
      <c r="B30" s="3">
        <v>1589</v>
      </c>
      <c r="C30" s="3">
        <v>2158.6999999999998</v>
      </c>
    </row>
    <row r="31" spans="1:7" x14ac:dyDescent="0.35">
      <c r="A31" s="3">
        <v>1999</v>
      </c>
      <c r="B31" s="3">
        <v>1608</v>
      </c>
      <c r="C31" s="3">
        <v>2177.1</v>
      </c>
    </row>
    <row r="32" spans="1:7" x14ac:dyDescent="0.35">
      <c r="A32" s="3">
        <v>2000</v>
      </c>
      <c r="B32" s="3">
        <v>1508</v>
      </c>
      <c r="C32" s="3">
        <v>2173.3000000000002</v>
      </c>
      <c r="D32" s="5">
        <v>1508</v>
      </c>
    </row>
    <row r="33" spans="1:3" x14ac:dyDescent="0.35">
      <c r="A33" s="3">
        <v>2001</v>
      </c>
      <c r="B33" s="3">
        <v>1593</v>
      </c>
      <c r="C33" s="3">
        <v>2167.8000000000002</v>
      </c>
    </row>
    <row r="34" spans="1:3" x14ac:dyDescent="0.35">
      <c r="A34" s="3">
        <v>2002</v>
      </c>
      <c r="B34" s="3">
        <v>1603</v>
      </c>
      <c r="C34" s="3">
        <v>2193.3000000000002</v>
      </c>
    </row>
    <row r="35" spans="1:3" x14ac:dyDescent="0.35">
      <c r="A35" s="3">
        <v>2003</v>
      </c>
      <c r="B35" s="3">
        <v>1408</v>
      </c>
      <c r="C35" s="3">
        <v>2120.6999999999998</v>
      </c>
    </row>
    <row r="36" spans="1:3" x14ac:dyDescent="0.35">
      <c r="A36" s="3">
        <v>2004</v>
      </c>
      <c r="B36" s="3">
        <v>1401</v>
      </c>
      <c r="C36" s="3">
        <v>2106.5</v>
      </c>
    </row>
    <row r="37" spans="1:3" x14ac:dyDescent="0.35">
      <c r="A37" s="3">
        <v>2005</v>
      </c>
      <c r="B37" s="3">
        <v>1451</v>
      </c>
      <c r="C37" s="3">
        <v>2123.6</v>
      </c>
    </row>
    <row r="38" spans="1:3" x14ac:dyDescent="0.35">
      <c r="A38" s="3">
        <v>2006</v>
      </c>
      <c r="B38" s="3">
        <v>1366</v>
      </c>
      <c r="C38" s="3">
        <v>2114.8000000000002</v>
      </c>
    </row>
    <row r="39" spans="1:3" x14ac:dyDescent="0.35">
      <c r="A39" s="3">
        <v>2007</v>
      </c>
      <c r="B39" s="3">
        <v>1410</v>
      </c>
      <c r="C39" s="3">
        <v>2134.6</v>
      </c>
    </row>
    <row r="40" spans="1:3" x14ac:dyDescent="0.35">
      <c r="A40" s="3">
        <v>2008</v>
      </c>
      <c r="B40" s="3">
        <v>1434</v>
      </c>
      <c r="C40" s="3">
        <v>2133.1999999999998</v>
      </c>
    </row>
    <row r="41" spans="1:3" x14ac:dyDescent="0.35">
      <c r="A41" s="3">
        <v>2009</v>
      </c>
      <c r="B41" s="3">
        <v>1433</v>
      </c>
      <c r="C41" s="3">
        <v>2168.3000000000002</v>
      </c>
    </row>
    <row r="42" spans="1:3" x14ac:dyDescent="0.35">
      <c r="A42" s="3">
        <v>2010</v>
      </c>
      <c r="B42" s="3">
        <v>1464</v>
      </c>
      <c r="C42" s="3">
        <v>2139.8000000000002</v>
      </c>
    </row>
    <row r="43" spans="1:3" x14ac:dyDescent="0.35">
      <c r="A43" s="3">
        <v>2011</v>
      </c>
      <c r="B43" s="3">
        <v>1231</v>
      </c>
      <c r="C43" s="3">
        <v>2063.9</v>
      </c>
    </row>
    <row r="44" spans="1:3" x14ac:dyDescent="0.35">
      <c r="A44" s="3">
        <v>2012</v>
      </c>
      <c r="B44" s="3">
        <v>1262</v>
      </c>
      <c r="C44" s="3">
        <v>2064.1999999999998</v>
      </c>
    </row>
    <row r="45" spans="1:3" x14ac:dyDescent="0.35">
      <c r="A45" s="3">
        <v>2013</v>
      </c>
      <c r="B45" s="3">
        <v>1336</v>
      </c>
      <c r="C45" s="3">
        <v>2084.5</v>
      </c>
    </row>
    <row r="46" spans="1:3" x14ac:dyDescent="0.35">
      <c r="A46" s="3">
        <v>2014</v>
      </c>
      <c r="B46" s="3">
        <v>1234</v>
      </c>
      <c r="C46" s="3">
        <v>1930.6</v>
      </c>
    </row>
    <row r="47" spans="1:3" x14ac:dyDescent="0.35">
      <c r="A47" s="3">
        <v>2015</v>
      </c>
      <c r="B47" s="3">
        <v>1215</v>
      </c>
      <c r="C47" s="3">
        <v>1736.6</v>
      </c>
    </row>
    <row r="48" spans="1:3" x14ac:dyDescent="0.35">
      <c r="A48" s="3">
        <v>2016</v>
      </c>
      <c r="B48" s="3">
        <v>1223</v>
      </c>
      <c r="C48" s="3">
        <v>1662.9</v>
      </c>
    </row>
    <row r="49" spans="1:5" x14ac:dyDescent="0.35">
      <c r="A49" s="3">
        <v>2017</v>
      </c>
      <c r="B49" s="3">
        <v>1221</v>
      </c>
      <c r="C49" s="3">
        <v>1569.6</v>
      </c>
    </row>
    <row r="50" spans="1:5" x14ac:dyDescent="0.35">
      <c r="A50" s="3">
        <v>2018</v>
      </c>
      <c r="B50" s="3">
        <v>937</v>
      </c>
      <c r="C50" s="3">
        <v>1469.1</v>
      </c>
    </row>
    <row r="51" spans="1:5" x14ac:dyDescent="0.35">
      <c r="A51" s="3">
        <v>2019</v>
      </c>
      <c r="B51" s="3">
        <v>858</v>
      </c>
      <c r="C51" s="3">
        <v>1447.3</v>
      </c>
    </row>
    <row r="52" spans="1:5" x14ac:dyDescent="0.35">
      <c r="A52" s="3">
        <v>2020</v>
      </c>
      <c r="B52" s="3">
        <v>863</v>
      </c>
      <c r="C52" s="3">
        <v>1359.3</v>
      </c>
    </row>
    <row r="53" spans="1:5" x14ac:dyDescent="0.35">
      <c r="A53" s="3">
        <v>2021</v>
      </c>
      <c r="B53" s="3">
        <v>883</v>
      </c>
      <c r="C53" s="3">
        <v>1402.1</v>
      </c>
    </row>
    <row r="54" spans="1:5" x14ac:dyDescent="0.35">
      <c r="A54" s="3">
        <v>2022</v>
      </c>
      <c r="B54" s="3">
        <v>584</v>
      </c>
      <c r="C54" s="3">
        <v>1134</v>
      </c>
    </row>
    <row r="55" spans="1:5" x14ac:dyDescent="0.35">
      <c r="A55" s="3">
        <v>2023</v>
      </c>
      <c r="B55" s="3">
        <v>522</v>
      </c>
      <c r="C55" s="3">
        <v>1159.4000000000001</v>
      </c>
    </row>
    <row r="56" spans="1:5" x14ac:dyDescent="0.35">
      <c r="A56" s="3">
        <v>2024</v>
      </c>
      <c r="B56" s="3">
        <v>487</v>
      </c>
      <c r="C56" s="3">
        <v>1187</v>
      </c>
    </row>
    <row r="57" spans="1:5" x14ac:dyDescent="0.35">
      <c r="A57" s="3">
        <v>2025</v>
      </c>
      <c r="B57" s="3">
        <v>496</v>
      </c>
      <c r="C57" s="3">
        <v>1181</v>
      </c>
      <c r="E57" s="5">
        <v>496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chart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William Wallisch</cp:lastModifiedBy>
  <cp:revision>0</cp:revision>
  <dcterms:created xsi:type="dcterms:W3CDTF">2026-09-11T15:59:44Z</dcterms:created>
  <dcterms:modified xsi:type="dcterms:W3CDTF">2026-09-12T10:10:01Z</dcterms:modified>
  <dc:language>en-US</dc:language>
</cp:coreProperties>
</file>