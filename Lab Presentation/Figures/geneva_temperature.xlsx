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liamWallisch\msc_workspace\SLiM\Lab Presentation\"/>
    </mc:Choice>
  </mc:AlternateContent>
  <xr:revisionPtr revIDLastSave="0" documentId="13_ncr:1_{A02F9210-E41B-457C-A144-90DD77E6589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enev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0" i="1" l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C9" i="1"/>
  <c r="G8" i="1"/>
  <c r="G9" i="1" s="1"/>
  <c r="C8" i="1"/>
  <c r="G7" i="1"/>
  <c r="C7" i="1"/>
  <c r="G6" i="1"/>
  <c r="C6" i="1"/>
  <c r="C5" i="1"/>
</calcChain>
</file>

<file path=xl/sharedStrings.xml><?xml version="1.0" encoding="utf-8"?>
<sst xmlns="http://schemas.openxmlformats.org/spreadsheetml/2006/main" count="19" uniqueCount="18">
  <si>
    <t>Mean annual 2 m temperature, Geneva</t>
  </si>
  <si>
    <t>ERA5 reanalysis, grid cell at 6.1432°E 46.2044°N — the same file the simulations are forced with (data/raw/2m_temp_1940-2026.grib). Each year is the mean of that year's daily values.</t>
  </si>
  <si>
    <t>Year</t>
  </si>
  <si>
    <t>Annual mean (°C)</t>
  </si>
  <si>
    <t>10-year running mean (°C)</t>
  </si>
  <si>
    <t>What the record says</t>
  </si>
  <si>
    <t>Comparison window</t>
  </si>
  <si>
    <t>&lt;- edit</t>
  </si>
  <si>
    <t>Window length (years)</t>
  </si>
  <si>
    <t>Mean of first window years</t>
  </si>
  <si>
    <t>Mean of last window years</t>
  </si>
  <si>
    <t>Warming between the two</t>
  </si>
  <si>
    <t>Trend (°C per decade)</t>
  </si>
  <si>
    <t>Trend over the whole record (°C)</t>
  </si>
  <si>
    <t>Warmest year</t>
  </si>
  <si>
    <t xml:space="preserve">  its mean</t>
  </si>
  <si>
    <t>Coldest year</t>
  </si>
  <si>
    <t>The yellow cell sets the comparison window. Everything else is a formula — nothing here is typed in by hand.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</si>
</sst>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2" fontId="4" fillId="0" borderId="0" xfId="0" applyNumberFormat="1" applyFont="1"/>
    <xf numFmtId="0" fontId="3" fillId="0" borderId="0" xfId="0" applyFont="1"/>
    <xf numFmtId="0" fontId="5" fillId="2" borderId="0" xfId="0" applyFont="1" applyFill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B3C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218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Mean annual temperature: Geneva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Geneva!$B$4</c:f>
              <c:strCache>
                <c:ptCount val="1"/>
                <c:pt idx="0">
                  <c:v>Annual mean (°C)</c:v>
                </c:pt>
              </c:strCache>
            </c:strRef>
          </c:tx>
          <c:spPr>
            <a:ln w="14040">
              <a:solidFill>
                <a:srgbClr val="9BB3C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C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Geneva!$A$5:$A$90</c:f>
              <c:numCache>
                <c:formatCode>General</c:formatCode>
                <c:ptCount val="86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</c:numCache>
            </c:numRef>
          </c:cat>
          <c:val>
            <c:numRef>
              <c:f>Geneva!$B$5:$B$90</c:f>
              <c:numCache>
                <c:formatCode>0.00</c:formatCode>
                <c:ptCount val="86"/>
                <c:pt idx="0">
                  <c:v>10.395</c:v>
                </c:pt>
                <c:pt idx="1">
                  <c:v>9.9749999999999996</c:v>
                </c:pt>
                <c:pt idx="2">
                  <c:v>11.255000000000001</c:v>
                </c:pt>
                <c:pt idx="3">
                  <c:v>11.64</c:v>
                </c:pt>
                <c:pt idx="4">
                  <c:v>10.557</c:v>
                </c:pt>
                <c:pt idx="5">
                  <c:v>11.688000000000001</c:v>
                </c:pt>
                <c:pt idx="6">
                  <c:v>11.65</c:v>
                </c:pt>
                <c:pt idx="7">
                  <c:v>12.33</c:v>
                </c:pt>
                <c:pt idx="8">
                  <c:v>11.791</c:v>
                </c:pt>
                <c:pt idx="9">
                  <c:v>12.125999999999999</c:v>
                </c:pt>
                <c:pt idx="10">
                  <c:v>11.468999999999999</c:v>
                </c:pt>
                <c:pt idx="11">
                  <c:v>10.954000000000001</c:v>
                </c:pt>
                <c:pt idx="12">
                  <c:v>10.837</c:v>
                </c:pt>
                <c:pt idx="13">
                  <c:v>11.407999999999999</c:v>
                </c:pt>
                <c:pt idx="14">
                  <c:v>10.167999999999999</c:v>
                </c:pt>
                <c:pt idx="15">
                  <c:v>11.097</c:v>
                </c:pt>
                <c:pt idx="16">
                  <c:v>9.8439999999999994</c:v>
                </c:pt>
                <c:pt idx="17">
                  <c:v>11.542</c:v>
                </c:pt>
                <c:pt idx="18">
                  <c:v>11.028</c:v>
                </c:pt>
                <c:pt idx="19">
                  <c:v>12.003</c:v>
                </c:pt>
                <c:pt idx="20">
                  <c:v>11.250999999999999</c:v>
                </c:pt>
                <c:pt idx="21">
                  <c:v>12.288</c:v>
                </c:pt>
                <c:pt idx="22">
                  <c:v>10.391</c:v>
                </c:pt>
                <c:pt idx="23">
                  <c:v>10.201000000000001</c:v>
                </c:pt>
                <c:pt idx="24">
                  <c:v>11.324999999999999</c:v>
                </c:pt>
                <c:pt idx="25">
                  <c:v>10.119</c:v>
                </c:pt>
                <c:pt idx="26">
                  <c:v>10.974</c:v>
                </c:pt>
                <c:pt idx="27">
                  <c:v>11.536</c:v>
                </c:pt>
                <c:pt idx="28">
                  <c:v>10.962</c:v>
                </c:pt>
                <c:pt idx="29">
                  <c:v>10.837999999999999</c:v>
                </c:pt>
                <c:pt idx="30">
                  <c:v>10.675000000000001</c:v>
                </c:pt>
                <c:pt idx="31">
                  <c:v>11.58</c:v>
                </c:pt>
                <c:pt idx="32">
                  <c:v>11.172000000000001</c:v>
                </c:pt>
                <c:pt idx="33">
                  <c:v>11.183</c:v>
                </c:pt>
                <c:pt idx="34">
                  <c:v>11.164</c:v>
                </c:pt>
                <c:pt idx="35">
                  <c:v>11.319000000000001</c:v>
                </c:pt>
                <c:pt idx="36">
                  <c:v>11.519</c:v>
                </c:pt>
                <c:pt idx="37">
                  <c:v>11.238</c:v>
                </c:pt>
                <c:pt idx="38">
                  <c:v>10.797000000000001</c:v>
                </c:pt>
                <c:pt idx="39">
                  <c:v>11.19</c:v>
                </c:pt>
                <c:pt idx="40">
                  <c:v>10.529</c:v>
                </c:pt>
                <c:pt idx="41">
                  <c:v>11.122999999999999</c:v>
                </c:pt>
                <c:pt idx="42">
                  <c:v>12.045</c:v>
                </c:pt>
                <c:pt idx="43">
                  <c:v>12.102</c:v>
                </c:pt>
                <c:pt idx="44">
                  <c:v>11.057</c:v>
                </c:pt>
                <c:pt idx="45">
                  <c:v>11.192</c:v>
                </c:pt>
                <c:pt idx="46">
                  <c:v>11.502000000000001</c:v>
                </c:pt>
                <c:pt idx="47">
                  <c:v>11.446</c:v>
                </c:pt>
                <c:pt idx="48">
                  <c:v>12.145</c:v>
                </c:pt>
                <c:pt idx="49">
                  <c:v>12.967000000000001</c:v>
                </c:pt>
                <c:pt idx="50">
                  <c:v>12.664</c:v>
                </c:pt>
                <c:pt idx="51">
                  <c:v>12.058</c:v>
                </c:pt>
                <c:pt idx="52">
                  <c:v>12.438000000000001</c:v>
                </c:pt>
                <c:pt idx="53">
                  <c:v>12.03</c:v>
                </c:pt>
                <c:pt idx="54">
                  <c:v>13.337</c:v>
                </c:pt>
                <c:pt idx="55">
                  <c:v>12.209</c:v>
                </c:pt>
                <c:pt idx="56">
                  <c:v>11.564</c:v>
                </c:pt>
                <c:pt idx="57">
                  <c:v>13.102</c:v>
                </c:pt>
                <c:pt idx="58">
                  <c:v>12.396000000000001</c:v>
                </c:pt>
                <c:pt idx="59">
                  <c:v>12.305</c:v>
                </c:pt>
                <c:pt idx="60">
                  <c:v>13.068</c:v>
                </c:pt>
                <c:pt idx="61">
                  <c:v>12.48</c:v>
                </c:pt>
                <c:pt idx="62">
                  <c:v>12.861000000000001</c:v>
                </c:pt>
                <c:pt idx="63">
                  <c:v>13.676</c:v>
                </c:pt>
                <c:pt idx="64">
                  <c:v>12.178000000000001</c:v>
                </c:pt>
                <c:pt idx="65">
                  <c:v>12.029</c:v>
                </c:pt>
                <c:pt idx="66">
                  <c:v>13.039</c:v>
                </c:pt>
                <c:pt idx="67">
                  <c:v>12.771000000000001</c:v>
                </c:pt>
                <c:pt idx="68">
                  <c:v>12.512</c:v>
                </c:pt>
                <c:pt idx="69">
                  <c:v>13.151</c:v>
                </c:pt>
                <c:pt idx="70">
                  <c:v>11.686999999999999</c:v>
                </c:pt>
                <c:pt idx="71">
                  <c:v>13.853</c:v>
                </c:pt>
                <c:pt idx="72">
                  <c:v>12.77</c:v>
                </c:pt>
                <c:pt idx="73">
                  <c:v>12.164999999999999</c:v>
                </c:pt>
                <c:pt idx="74">
                  <c:v>13.781000000000001</c:v>
                </c:pt>
                <c:pt idx="75">
                  <c:v>14.034000000000001</c:v>
                </c:pt>
                <c:pt idx="76">
                  <c:v>13.007</c:v>
                </c:pt>
                <c:pt idx="77">
                  <c:v>13.442</c:v>
                </c:pt>
                <c:pt idx="78">
                  <c:v>14.318</c:v>
                </c:pt>
                <c:pt idx="79">
                  <c:v>13.808</c:v>
                </c:pt>
                <c:pt idx="80">
                  <c:v>14.243</c:v>
                </c:pt>
                <c:pt idx="81">
                  <c:v>12.928000000000001</c:v>
                </c:pt>
                <c:pt idx="82">
                  <c:v>15.311</c:v>
                </c:pt>
                <c:pt idx="83">
                  <c:v>14.465</c:v>
                </c:pt>
                <c:pt idx="84">
                  <c:v>14.025</c:v>
                </c:pt>
                <c:pt idx="85">
                  <c:v>14.512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0-4363-9A93-4C929BB79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461051"/>
        <c:axId val="64474180"/>
      </c:lineChart>
      <c:catAx>
        <c:axId val="934610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CH"/>
          </a:p>
        </c:txPr>
        <c:crossAx val="64474180"/>
        <c:crosses val="autoZero"/>
        <c:auto val="0"/>
        <c:lblAlgn val="ctr"/>
        <c:lblOffset val="100"/>
        <c:noMultiLvlLbl val="0"/>
      </c:catAx>
      <c:valAx>
        <c:axId val="64474180"/>
        <c:scaling>
          <c:orientation val="minMax"/>
          <c:min val="9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CH"/>
          </a:p>
        </c:txPr>
        <c:crossAx val="934610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600362</xdr:colOff>
      <xdr:row>8</xdr:row>
      <xdr:rowOff>161636</xdr:rowOff>
    </xdr:from>
    <xdr:to>
      <xdr:col>20</xdr:col>
      <xdr:colOff>346363</xdr:colOff>
      <xdr:row>36</xdr:row>
      <xdr:rowOff>181080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zoomScale="55" zoomScaleNormal="55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8" customWidth="1"/>
    <col min="3" max="3" width="24" customWidth="1"/>
    <col min="5" max="5" width="32" customWidth="1"/>
    <col min="7" max="7" width="11" customWidth="1"/>
  </cols>
  <sheetData>
    <row r="1" spans="1:9" ht="15.5" x14ac:dyDescent="0.35">
      <c r="A1" s="1" t="s">
        <v>0</v>
      </c>
    </row>
    <row r="2" spans="1:9" x14ac:dyDescent="0.35">
      <c r="A2" s="2" t="s">
        <v>1</v>
      </c>
    </row>
    <row r="4" spans="1:9" ht="15.5" x14ac:dyDescent="0.35">
      <c r="A4" s="3" t="s">
        <v>2</v>
      </c>
      <c r="B4" s="3" t="s">
        <v>3</v>
      </c>
      <c r="C4" s="3" t="s">
        <v>4</v>
      </c>
      <c r="E4" s="1" t="s">
        <v>5</v>
      </c>
    </row>
    <row r="5" spans="1:9" x14ac:dyDescent="0.35">
      <c r="A5" s="4">
        <v>1940</v>
      </c>
      <c r="B5" s="5">
        <v>10.395</v>
      </c>
      <c r="C5" s="5" t="str">
        <f>""</f>
        <v/>
      </c>
      <c r="E5" s="6" t="s">
        <v>6</v>
      </c>
      <c r="H5" s="7">
        <v>30</v>
      </c>
      <c r="I5" s="2" t="s">
        <v>7</v>
      </c>
    </row>
    <row r="6" spans="1:9" x14ac:dyDescent="0.35">
      <c r="A6" s="4">
        <v>1941</v>
      </c>
      <c r="B6" s="5">
        <v>9.9749999999999996</v>
      </c>
      <c r="C6" s="5" t="str">
        <f>""</f>
        <v/>
      </c>
      <c r="E6" s="6" t="s">
        <v>8</v>
      </c>
      <c r="G6" s="8">
        <f>$H$5</f>
        <v>30</v>
      </c>
    </row>
    <row r="7" spans="1:9" x14ac:dyDescent="0.35">
      <c r="A7" s="4">
        <v>1942</v>
      </c>
      <c r="B7" s="5">
        <v>11.255000000000001</v>
      </c>
      <c r="C7" s="5" t="str">
        <f>""</f>
        <v/>
      </c>
      <c r="E7" s="6" t="s">
        <v>9</v>
      </c>
      <c r="G7" s="5">
        <f>AVERAGE(B5:INDEX(B:B,5+$H$5-1))</f>
        <v>11.1214</v>
      </c>
    </row>
    <row r="8" spans="1:9" x14ac:dyDescent="0.35">
      <c r="A8" s="4">
        <v>1943</v>
      </c>
      <c r="B8" s="5">
        <v>11.64</v>
      </c>
      <c r="C8" s="5" t="str">
        <f>""</f>
        <v/>
      </c>
      <c r="E8" s="6" t="s">
        <v>10</v>
      </c>
      <c r="G8" s="5">
        <f>AVERAGE(INDEX(B:B,90-$H$5+1):B90)</f>
        <v>13.182699999999999</v>
      </c>
    </row>
    <row r="9" spans="1:9" x14ac:dyDescent="0.35">
      <c r="A9" s="4">
        <v>1944</v>
      </c>
      <c r="B9" s="5">
        <v>10.557</v>
      </c>
      <c r="C9" s="5" t="str">
        <f>""</f>
        <v/>
      </c>
      <c r="E9" s="6" t="s">
        <v>11</v>
      </c>
      <c r="G9" s="5">
        <f>G8-G7</f>
        <v>2.0612999999999992</v>
      </c>
    </row>
    <row r="10" spans="1:9" x14ac:dyDescent="0.35">
      <c r="A10" s="4">
        <v>1945</v>
      </c>
      <c r="B10" s="5">
        <v>11.688000000000001</v>
      </c>
      <c r="C10" s="5" t="str">
        <f>""</f>
        <v/>
      </c>
      <c r="E10" s="6" t="s">
        <v>12</v>
      </c>
      <c r="G10" s="5">
        <f>SLOPE(B5:B90,A5:A90)*10</f>
        <v>0.3728815510165574</v>
      </c>
    </row>
    <row r="11" spans="1:9" x14ac:dyDescent="0.35">
      <c r="A11" s="4">
        <v>1946</v>
      </c>
      <c r="B11" s="5">
        <v>11.65</v>
      </c>
      <c r="C11" s="5" t="str">
        <f>""</f>
        <v/>
      </c>
      <c r="E11" s="6" t="s">
        <v>13</v>
      </c>
      <c r="G11" s="5">
        <f>SLOPE(B5:B90,A5:A90)*(A90-A5)</f>
        <v>3.1694931836407383</v>
      </c>
    </row>
    <row r="12" spans="1:9" x14ac:dyDescent="0.35">
      <c r="A12" s="4">
        <v>1947</v>
      </c>
      <c r="B12" s="5">
        <v>12.33</v>
      </c>
      <c r="C12" s="5" t="str">
        <f>""</f>
        <v/>
      </c>
      <c r="E12" s="6" t="s">
        <v>14</v>
      </c>
      <c r="G12" s="8">
        <f>INDEX(A5:A90,MATCH(MAX(B5:B90),B5:B90,0))</f>
        <v>2022</v>
      </c>
    </row>
    <row r="13" spans="1:9" x14ac:dyDescent="0.35">
      <c r="A13" s="4">
        <v>1948</v>
      </c>
      <c r="B13" s="5">
        <v>11.791</v>
      </c>
      <c r="C13" s="5" t="str">
        <f>""</f>
        <v/>
      </c>
      <c r="E13" s="6" t="s">
        <v>15</v>
      </c>
      <c r="G13" s="5">
        <f>MAX(B5:B90)</f>
        <v>15.311</v>
      </c>
    </row>
    <row r="14" spans="1:9" x14ac:dyDescent="0.35">
      <c r="A14" s="4">
        <v>1949</v>
      </c>
      <c r="B14" s="5">
        <v>12.125999999999999</v>
      </c>
      <c r="C14" s="5">
        <f t="shared" ref="C14:C45" si="0">IF(ROW()-ROW($A$5)+1&gt;=10,AVERAGE(B5:B14),"")</f>
        <v>11.340700000000002</v>
      </c>
      <c r="E14" s="6" t="s">
        <v>16</v>
      </c>
      <c r="G14" s="8">
        <f>INDEX(A5:A90,MATCH(MIN(B5:B90),B5:B90,0))</f>
        <v>1956</v>
      </c>
    </row>
    <row r="15" spans="1:9" x14ac:dyDescent="0.35">
      <c r="A15" s="4">
        <v>1950</v>
      </c>
      <c r="B15" s="5">
        <v>11.468999999999999</v>
      </c>
      <c r="C15" s="5">
        <f t="shared" si="0"/>
        <v>11.4481</v>
      </c>
      <c r="E15" s="6" t="s">
        <v>15</v>
      </c>
      <c r="G15" s="5">
        <f>MIN(B5:B90)</f>
        <v>9.8439999999999994</v>
      </c>
    </row>
    <row r="16" spans="1:9" x14ac:dyDescent="0.35">
      <c r="A16" s="4">
        <v>1951</v>
      </c>
      <c r="B16" s="5">
        <v>10.954000000000001</v>
      </c>
      <c r="C16" s="5">
        <f t="shared" si="0"/>
        <v>11.546000000000001</v>
      </c>
    </row>
    <row r="17" spans="1:5" x14ac:dyDescent="0.35">
      <c r="A17" s="4">
        <v>1952</v>
      </c>
      <c r="B17" s="5">
        <v>10.837</v>
      </c>
      <c r="C17" s="5">
        <f t="shared" si="0"/>
        <v>11.504200000000001</v>
      </c>
      <c r="E17" s="2" t="s">
        <v>17</v>
      </c>
    </row>
    <row r="18" spans="1:5" x14ac:dyDescent="0.35">
      <c r="A18" s="4">
        <v>1953</v>
      </c>
      <c r="B18" s="5">
        <v>11.407999999999999</v>
      </c>
      <c r="C18" s="5">
        <f t="shared" si="0"/>
        <v>11.481</v>
      </c>
    </row>
    <row r="19" spans="1:5" x14ac:dyDescent="0.35">
      <c r="A19" s="4">
        <v>1954</v>
      </c>
      <c r="B19" s="5">
        <v>10.167999999999999</v>
      </c>
      <c r="C19" s="5">
        <f t="shared" si="0"/>
        <v>11.442100000000002</v>
      </c>
    </row>
    <row r="20" spans="1:5" x14ac:dyDescent="0.35">
      <c r="A20" s="4">
        <v>1955</v>
      </c>
      <c r="B20" s="5">
        <v>11.097</v>
      </c>
      <c r="C20" s="5">
        <f t="shared" si="0"/>
        <v>11.382999999999999</v>
      </c>
    </row>
    <row r="21" spans="1:5" x14ac:dyDescent="0.35">
      <c r="A21" s="4">
        <v>1956</v>
      </c>
      <c r="B21" s="5">
        <v>9.8439999999999994</v>
      </c>
      <c r="C21" s="5">
        <f t="shared" si="0"/>
        <v>11.202399999999999</v>
      </c>
    </row>
    <row r="22" spans="1:5" x14ac:dyDescent="0.35">
      <c r="A22" s="4">
        <v>1957</v>
      </c>
      <c r="B22" s="5">
        <v>11.542</v>
      </c>
      <c r="C22" s="5">
        <f t="shared" si="0"/>
        <v>11.1236</v>
      </c>
    </row>
    <row r="23" spans="1:5" x14ac:dyDescent="0.35">
      <c r="A23" s="4">
        <v>1958</v>
      </c>
      <c r="B23" s="5">
        <v>11.028</v>
      </c>
      <c r="C23" s="5">
        <f t="shared" si="0"/>
        <v>11.047299999999998</v>
      </c>
    </row>
    <row r="24" spans="1:5" x14ac:dyDescent="0.35">
      <c r="A24" s="4">
        <v>1959</v>
      </c>
      <c r="B24" s="5">
        <v>12.003</v>
      </c>
      <c r="C24" s="5">
        <f t="shared" si="0"/>
        <v>11.035</v>
      </c>
    </row>
    <row r="25" spans="1:5" x14ac:dyDescent="0.35">
      <c r="A25" s="4">
        <v>1960</v>
      </c>
      <c r="B25" s="5">
        <v>11.250999999999999</v>
      </c>
      <c r="C25" s="5">
        <f t="shared" si="0"/>
        <v>11.013200000000001</v>
      </c>
    </row>
    <row r="26" spans="1:5" x14ac:dyDescent="0.35">
      <c r="A26" s="4">
        <v>1961</v>
      </c>
      <c r="B26" s="5">
        <v>12.288</v>
      </c>
      <c r="C26" s="5">
        <f t="shared" si="0"/>
        <v>11.146600000000001</v>
      </c>
    </row>
    <row r="27" spans="1:5" x14ac:dyDescent="0.35">
      <c r="A27" s="4">
        <v>1962</v>
      </c>
      <c r="B27" s="5">
        <v>10.391</v>
      </c>
      <c r="C27" s="5">
        <f t="shared" si="0"/>
        <v>11.102</v>
      </c>
    </row>
    <row r="28" spans="1:5" x14ac:dyDescent="0.35">
      <c r="A28" s="4">
        <v>1963</v>
      </c>
      <c r="B28" s="5">
        <v>10.201000000000001</v>
      </c>
      <c r="C28" s="5">
        <f t="shared" si="0"/>
        <v>10.981300000000001</v>
      </c>
    </row>
    <row r="29" spans="1:5" x14ac:dyDescent="0.35">
      <c r="A29" s="4">
        <v>1964</v>
      </c>
      <c r="B29" s="5">
        <v>11.324999999999999</v>
      </c>
      <c r="C29" s="5">
        <f t="shared" si="0"/>
        <v>11.097000000000001</v>
      </c>
    </row>
    <row r="30" spans="1:5" x14ac:dyDescent="0.35">
      <c r="A30" s="4">
        <v>1965</v>
      </c>
      <c r="B30" s="5">
        <v>10.119</v>
      </c>
      <c r="C30" s="5">
        <f t="shared" si="0"/>
        <v>10.9992</v>
      </c>
    </row>
    <row r="31" spans="1:5" x14ac:dyDescent="0.35">
      <c r="A31" s="4">
        <v>1966</v>
      </c>
      <c r="B31" s="5">
        <v>10.974</v>
      </c>
      <c r="C31" s="5">
        <f t="shared" si="0"/>
        <v>11.112200000000001</v>
      </c>
    </row>
    <row r="32" spans="1:5" x14ac:dyDescent="0.35">
      <c r="A32" s="4">
        <v>1967</v>
      </c>
      <c r="B32" s="5">
        <v>11.536</v>
      </c>
      <c r="C32" s="5">
        <f t="shared" si="0"/>
        <v>11.111599999999999</v>
      </c>
    </row>
    <row r="33" spans="1:3" x14ac:dyDescent="0.35">
      <c r="A33" s="4">
        <v>1968</v>
      </c>
      <c r="B33" s="5">
        <v>10.962</v>
      </c>
      <c r="C33" s="5">
        <f t="shared" si="0"/>
        <v>11.105</v>
      </c>
    </row>
    <row r="34" spans="1:3" x14ac:dyDescent="0.35">
      <c r="A34" s="4">
        <v>1969</v>
      </c>
      <c r="B34" s="5">
        <v>10.837999999999999</v>
      </c>
      <c r="C34" s="5">
        <f t="shared" si="0"/>
        <v>10.9885</v>
      </c>
    </row>
    <row r="35" spans="1:3" x14ac:dyDescent="0.35">
      <c r="A35" s="4">
        <v>1970</v>
      </c>
      <c r="B35" s="5">
        <v>10.675000000000001</v>
      </c>
      <c r="C35" s="5">
        <f t="shared" si="0"/>
        <v>10.930899999999999</v>
      </c>
    </row>
    <row r="36" spans="1:3" x14ac:dyDescent="0.35">
      <c r="A36" s="4">
        <v>1971</v>
      </c>
      <c r="B36" s="5">
        <v>11.58</v>
      </c>
      <c r="C36" s="5">
        <f t="shared" si="0"/>
        <v>10.860099999999999</v>
      </c>
    </row>
    <row r="37" spans="1:3" x14ac:dyDescent="0.35">
      <c r="A37" s="4">
        <v>1972</v>
      </c>
      <c r="B37" s="5">
        <v>11.172000000000001</v>
      </c>
      <c r="C37" s="5">
        <f t="shared" si="0"/>
        <v>10.938199999999998</v>
      </c>
    </row>
    <row r="38" spans="1:3" x14ac:dyDescent="0.35">
      <c r="A38" s="4">
        <v>1973</v>
      </c>
      <c r="B38" s="5">
        <v>11.183</v>
      </c>
      <c r="C38" s="5">
        <f t="shared" si="0"/>
        <v>11.036399999999997</v>
      </c>
    </row>
    <row r="39" spans="1:3" x14ac:dyDescent="0.35">
      <c r="A39" s="4">
        <v>1974</v>
      </c>
      <c r="B39" s="5">
        <v>11.164</v>
      </c>
      <c r="C39" s="5">
        <f t="shared" si="0"/>
        <v>11.020299999999999</v>
      </c>
    </row>
    <row r="40" spans="1:3" x14ac:dyDescent="0.35">
      <c r="A40" s="4">
        <v>1975</v>
      </c>
      <c r="B40" s="5">
        <v>11.319000000000001</v>
      </c>
      <c r="C40" s="5">
        <f t="shared" si="0"/>
        <v>11.1403</v>
      </c>
    </row>
    <row r="41" spans="1:3" x14ac:dyDescent="0.35">
      <c r="A41" s="4">
        <v>1976</v>
      </c>
      <c r="B41" s="5">
        <v>11.519</v>
      </c>
      <c r="C41" s="5">
        <f t="shared" si="0"/>
        <v>11.194800000000001</v>
      </c>
    </row>
    <row r="42" spans="1:3" x14ac:dyDescent="0.35">
      <c r="A42" s="4">
        <v>1977</v>
      </c>
      <c r="B42" s="5">
        <v>11.238</v>
      </c>
      <c r="C42" s="5">
        <f t="shared" si="0"/>
        <v>11.165000000000001</v>
      </c>
    </row>
    <row r="43" spans="1:3" x14ac:dyDescent="0.35">
      <c r="A43" s="4">
        <v>1978</v>
      </c>
      <c r="B43" s="5">
        <v>10.797000000000001</v>
      </c>
      <c r="C43" s="5">
        <f t="shared" si="0"/>
        <v>11.1485</v>
      </c>
    </row>
    <row r="44" spans="1:3" x14ac:dyDescent="0.35">
      <c r="A44" s="4">
        <v>1979</v>
      </c>
      <c r="B44" s="5">
        <v>11.19</v>
      </c>
      <c r="C44" s="5">
        <f t="shared" si="0"/>
        <v>11.1837</v>
      </c>
    </row>
    <row r="45" spans="1:3" x14ac:dyDescent="0.35">
      <c r="A45" s="4">
        <v>1980</v>
      </c>
      <c r="B45" s="5">
        <v>10.529</v>
      </c>
      <c r="C45" s="5">
        <f t="shared" si="0"/>
        <v>11.1691</v>
      </c>
    </row>
    <row r="46" spans="1:3" x14ac:dyDescent="0.35">
      <c r="A46" s="4">
        <v>1981</v>
      </c>
      <c r="B46" s="5">
        <v>11.122999999999999</v>
      </c>
      <c r="C46" s="5">
        <f t="shared" ref="C46:C77" si="1">IF(ROW()-ROW($A$5)+1&gt;=10,AVERAGE(B37:B46),"")</f>
        <v>11.1234</v>
      </c>
    </row>
    <row r="47" spans="1:3" x14ac:dyDescent="0.35">
      <c r="A47" s="4">
        <v>1982</v>
      </c>
      <c r="B47" s="5">
        <v>12.045</v>
      </c>
      <c r="C47" s="5">
        <f t="shared" si="1"/>
        <v>11.210699999999999</v>
      </c>
    </row>
    <row r="48" spans="1:3" x14ac:dyDescent="0.35">
      <c r="A48" s="4">
        <v>1983</v>
      </c>
      <c r="B48" s="5">
        <v>12.102</v>
      </c>
      <c r="C48" s="5">
        <f t="shared" si="1"/>
        <v>11.302600000000002</v>
      </c>
    </row>
    <row r="49" spans="1:3" x14ac:dyDescent="0.35">
      <c r="A49" s="4">
        <v>1984</v>
      </c>
      <c r="B49" s="5">
        <v>11.057</v>
      </c>
      <c r="C49" s="5">
        <f t="shared" si="1"/>
        <v>11.291900000000002</v>
      </c>
    </row>
    <row r="50" spans="1:3" x14ac:dyDescent="0.35">
      <c r="A50" s="4">
        <v>1985</v>
      </c>
      <c r="B50" s="5">
        <v>11.192</v>
      </c>
      <c r="C50" s="5">
        <f t="shared" si="1"/>
        <v>11.279199999999999</v>
      </c>
    </row>
    <row r="51" spans="1:3" x14ac:dyDescent="0.35">
      <c r="A51" s="4">
        <v>1986</v>
      </c>
      <c r="B51" s="5">
        <v>11.502000000000001</v>
      </c>
      <c r="C51" s="5">
        <f t="shared" si="1"/>
        <v>11.2775</v>
      </c>
    </row>
    <row r="52" spans="1:3" x14ac:dyDescent="0.35">
      <c r="A52" s="4">
        <v>1987</v>
      </c>
      <c r="B52" s="5">
        <v>11.446</v>
      </c>
      <c r="C52" s="5">
        <f t="shared" si="1"/>
        <v>11.298299999999999</v>
      </c>
    </row>
    <row r="53" spans="1:3" x14ac:dyDescent="0.35">
      <c r="A53" s="4">
        <v>1988</v>
      </c>
      <c r="B53" s="5">
        <v>12.145</v>
      </c>
      <c r="C53" s="5">
        <f t="shared" si="1"/>
        <v>11.4331</v>
      </c>
    </row>
    <row r="54" spans="1:3" x14ac:dyDescent="0.35">
      <c r="A54" s="4">
        <v>1989</v>
      </c>
      <c r="B54" s="5">
        <v>12.967000000000001</v>
      </c>
      <c r="C54" s="5">
        <f t="shared" si="1"/>
        <v>11.610799999999999</v>
      </c>
    </row>
    <row r="55" spans="1:3" x14ac:dyDescent="0.35">
      <c r="A55" s="4">
        <v>1990</v>
      </c>
      <c r="B55" s="5">
        <v>12.664</v>
      </c>
      <c r="C55" s="5">
        <f t="shared" si="1"/>
        <v>11.824299999999999</v>
      </c>
    </row>
    <row r="56" spans="1:3" x14ac:dyDescent="0.35">
      <c r="A56" s="4">
        <v>1991</v>
      </c>
      <c r="B56" s="5">
        <v>12.058</v>
      </c>
      <c r="C56" s="5">
        <f t="shared" si="1"/>
        <v>11.9178</v>
      </c>
    </row>
    <row r="57" spans="1:3" x14ac:dyDescent="0.35">
      <c r="A57" s="4">
        <v>1992</v>
      </c>
      <c r="B57" s="5">
        <v>12.438000000000001</v>
      </c>
      <c r="C57" s="5">
        <f t="shared" si="1"/>
        <v>11.957100000000001</v>
      </c>
    </row>
    <row r="58" spans="1:3" x14ac:dyDescent="0.35">
      <c r="A58" s="4">
        <v>1993</v>
      </c>
      <c r="B58" s="5">
        <v>12.03</v>
      </c>
      <c r="C58" s="5">
        <f t="shared" si="1"/>
        <v>11.949900000000001</v>
      </c>
    </row>
    <row r="59" spans="1:3" x14ac:dyDescent="0.35">
      <c r="A59" s="4">
        <v>1994</v>
      </c>
      <c r="B59" s="5">
        <v>13.337</v>
      </c>
      <c r="C59" s="5">
        <f t="shared" si="1"/>
        <v>12.177899999999999</v>
      </c>
    </row>
    <row r="60" spans="1:3" x14ac:dyDescent="0.35">
      <c r="A60" s="4">
        <v>1995</v>
      </c>
      <c r="B60" s="5">
        <v>12.209</v>
      </c>
      <c r="C60" s="5">
        <f t="shared" si="1"/>
        <v>12.279600000000002</v>
      </c>
    </row>
    <row r="61" spans="1:3" x14ac:dyDescent="0.35">
      <c r="A61" s="4">
        <v>1996</v>
      </c>
      <c r="B61" s="5">
        <v>11.564</v>
      </c>
      <c r="C61" s="5">
        <f t="shared" si="1"/>
        <v>12.2858</v>
      </c>
    </row>
    <row r="62" spans="1:3" x14ac:dyDescent="0.35">
      <c r="A62" s="4">
        <v>1997</v>
      </c>
      <c r="B62" s="5">
        <v>13.102</v>
      </c>
      <c r="C62" s="5">
        <f t="shared" si="1"/>
        <v>12.451400000000001</v>
      </c>
    </row>
    <row r="63" spans="1:3" x14ac:dyDescent="0.35">
      <c r="A63" s="4">
        <v>1998</v>
      </c>
      <c r="B63" s="5">
        <v>12.396000000000001</v>
      </c>
      <c r="C63" s="5">
        <f t="shared" si="1"/>
        <v>12.4765</v>
      </c>
    </row>
    <row r="64" spans="1:3" x14ac:dyDescent="0.35">
      <c r="A64" s="4">
        <v>1999</v>
      </c>
      <c r="B64" s="5">
        <v>12.305</v>
      </c>
      <c r="C64" s="5">
        <f t="shared" si="1"/>
        <v>12.410300000000001</v>
      </c>
    </row>
    <row r="65" spans="1:3" x14ac:dyDescent="0.35">
      <c r="A65" s="4">
        <v>2000</v>
      </c>
      <c r="B65" s="5">
        <v>13.068</v>
      </c>
      <c r="C65" s="5">
        <f t="shared" si="1"/>
        <v>12.450699999999999</v>
      </c>
    </row>
    <row r="66" spans="1:3" x14ac:dyDescent="0.35">
      <c r="A66" s="4">
        <v>2001</v>
      </c>
      <c r="B66" s="5">
        <v>12.48</v>
      </c>
      <c r="C66" s="5">
        <f t="shared" si="1"/>
        <v>12.492900000000001</v>
      </c>
    </row>
    <row r="67" spans="1:3" x14ac:dyDescent="0.35">
      <c r="A67" s="4">
        <v>2002</v>
      </c>
      <c r="B67" s="5">
        <v>12.861000000000001</v>
      </c>
      <c r="C67" s="5">
        <f t="shared" si="1"/>
        <v>12.5352</v>
      </c>
    </row>
    <row r="68" spans="1:3" x14ac:dyDescent="0.35">
      <c r="A68" s="4">
        <v>2003</v>
      </c>
      <c r="B68" s="5">
        <v>13.676</v>
      </c>
      <c r="C68" s="5">
        <f t="shared" si="1"/>
        <v>12.699800000000002</v>
      </c>
    </row>
    <row r="69" spans="1:3" x14ac:dyDescent="0.35">
      <c r="A69" s="4">
        <v>2004</v>
      </c>
      <c r="B69" s="5">
        <v>12.178000000000001</v>
      </c>
      <c r="C69" s="5">
        <f t="shared" si="1"/>
        <v>12.583900000000002</v>
      </c>
    </row>
    <row r="70" spans="1:3" x14ac:dyDescent="0.35">
      <c r="A70" s="4">
        <v>2005</v>
      </c>
      <c r="B70" s="5">
        <v>12.029</v>
      </c>
      <c r="C70" s="5">
        <f t="shared" si="1"/>
        <v>12.565899999999999</v>
      </c>
    </row>
    <row r="71" spans="1:3" x14ac:dyDescent="0.35">
      <c r="A71" s="4">
        <v>2006</v>
      </c>
      <c r="B71" s="5">
        <v>13.039</v>
      </c>
      <c r="C71" s="5">
        <f t="shared" si="1"/>
        <v>12.7134</v>
      </c>
    </row>
    <row r="72" spans="1:3" x14ac:dyDescent="0.35">
      <c r="A72" s="4">
        <v>2007</v>
      </c>
      <c r="B72" s="5">
        <v>12.771000000000001</v>
      </c>
      <c r="C72" s="5">
        <f t="shared" si="1"/>
        <v>12.680299999999999</v>
      </c>
    </row>
    <row r="73" spans="1:3" x14ac:dyDescent="0.35">
      <c r="A73" s="4">
        <v>2008</v>
      </c>
      <c r="B73" s="5">
        <v>12.512</v>
      </c>
      <c r="C73" s="5">
        <f t="shared" si="1"/>
        <v>12.6919</v>
      </c>
    </row>
    <row r="74" spans="1:3" x14ac:dyDescent="0.35">
      <c r="A74" s="4">
        <v>2009</v>
      </c>
      <c r="B74" s="5">
        <v>13.151</v>
      </c>
      <c r="C74" s="5">
        <f t="shared" si="1"/>
        <v>12.7765</v>
      </c>
    </row>
    <row r="75" spans="1:3" x14ac:dyDescent="0.35">
      <c r="A75" s="4">
        <v>2010</v>
      </c>
      <c r="B75" s="5">
        <v>11.686999999999999</v>
      </c>
      <c r="C75" s="5">
        <f t="shared" si="1"/>
        <v>12.638400000000001</v>
      </c>
    </row>
    <row r="76" spans="1:3" x14ac:dyDescent="0.35">
      <c r="A76" s="4">
        <v>2011</v>
      </c>
      <c r="B76" s="5">
        <v>13.853</v>
      </c>
      <c r="C76" s="5">
        <f t="shared" si="1"/>
        <v>12.775699999999999</v>
      </c>
    </row>
    <row r="77" spans="1:3" x14ac:dyDescent="0.35">
      <c r="A77" s="4">
        <v>2012</v>
      </c>
      <c r="B77" s="5">
        <v>12.77</v>
      </c>
      <c r="C77" s="5">
        <f t="shared" si="1"/>
        <v>12.766599999999999</v>
      </c>
    </row>
    <row r="78" spans="1:3" x14ac:dyDescent="0.35">
      <c r="A78" s="4">
        <v>2013</v>
      </c>
      <c r="B78" s="5">
        <v>12.164999999999999</v>
      </c>
      <c r="C78" s="5">
        <f t="shared" ref="C78:C109" si="2">IF(ROW()-ROW($A$5)+1&gt;=10,AVERAGE(B69:B78),"")</f>
        <v>12.615500000000001</v>
      </c>
    </row>
    <row r="79" spans="1:3" x14ac:dyDescent="0.35">
      <c r="A79" s="4">
        <v>2014</v>
      </c>
      <c r="B79" s="5">
        <v>13.781000000000001</v>
      </c>
      <c r="C79" s="5">
        <f t="shared" si="2"/>
        <v>12.775799999999998</v>
      </c>
    </row>
    <row r="80" spans="1:3" x14ac:dyDescent="0.35">
      <c r="A80" s="4">
        <v>2015</v>
      </c>
      <c r="B80" s="5">
        <v>14.034000000000001</v>
      </c>
      <c r="C80" s="5">
        <f t="shared" si="2"/>
        <v>12.976299999999998</v>
      </c>
    </row>
    <row r="81" spans="1:3" x14ac:dyDescent="0.35">
      <c r="A81" s="4">
        <v>2016</v>
      </c>
      <c r="B81" s="5">
        <v>13.007</v>
      </c>
      <c r="C81" s="5">
        <f t="shared" si="2"/>
        <v>12.973099999999999</v>
      </c>
    </row>
    <row r="82" spans="1:3" x14ac:dyDescent="0.35">
      <c r="A82" s="4">
        <v>2017</v>
      </c>
      <c r="B82" s="5">
        <v>13.442</v>
      </c>
      <c r="C82" s="5">
        <f t="shared" si="2"/>
        <v>13.040200000000002</v>
      </c>
    </row>
    <row r="83" spans="1:3" x14ac:dyDescent="0.35">
      <c r="A83" s="4">
        <v>2018</v>
      </c>
      <c r="B83" s="5">
        <v>14.318</v>
      </c>
      <c r="C83" s="5">
        <f t="shared" si="2"/>
        <v>13.220800000000002</v>
      </c>
    </row>
    <row r="84" spans="1:3" x14ac:dyDescent="0.35">
      <c r="A84" s="4">
        <v>2019</v>
      </c>
      <c r="B84" s="5">
        <v>13.808</v>
      </c>
      <c r="C84" s="5">
        <f t="shared" si="2"/>
        <v>13.2865</v>
      </c>
    </row>
    <row r="85" spans="1:3" x14ac:dyDescent="0.35">
      <c r="A85" s="4">
        <v>2020</v>
      </c>
      <c r="B85" s="5">
        <v>14.243</v>
      </c>
      <c r="C85" s="5">
        <f t="shared" si="2"/>
        <v>13.5421</v>
      </c>
    </row>
    <row r="86" spans="1:3" x14ac:dyDescent="0.35">
      <c r="A86" s="4">
        <v>2021</v>
      </c>
      <c r="B86" s="5">
        <v>12.928000000000001</v>
      </c>
      <c r="C86" s="5">
        <f t="shared" si="2"/>
        <v>13.4496</v>
      </c>
    </row>
    <row r="87" spans="1:3" x14ac:dyDescent="0.35">
      <c r="A87" s="4">
        <v>2022</v>
      </c>
      <c r="B87" s="5">
        <v>15.311</v>
      </c>
      <c r="C87" s="5">
        <f t="shared" si="2"/>
        <v>13.703700000000001</v>
      </c>
    </row>
    <row r="88" spans="1:3" x14ac:dyDescent="0.35">
      <c r="A88" s="4">
        <v>2023</v>
      </c>
      <c r="B88" s="5">
        <v>14.465</v>
      </c>
      <c r="C88" s="5">
        <f t="shared" si="2"/>
        <v>13.933700000000002</v>
      </c>
    </row>
    <row r="89" spans="1:3" x14ac:dyDescent="0.35">
      <c r="A89" s="4">
        <v>2024</v>
      </c>
      <c r="B89" s="5">
        <v>14.025</v>
      </c>
      <c r="C89" s="5">
        <f t="shared" si="2"/>
        <v>13.958100000000002</v>
      </c>
    </row>
    <row r="90" spans="1:3" x14ac:dyDescent="0.35">
      <c r="A90" s="4">
        <v>2025</v>
      </c>
      <c r="B90" s="5">
        <v>14.512</v>
      </c>
      <c r="C90" s="5">
        <f t="shared" si="2"/>
        <v>14.0059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Wallisch</cp:lastModifiedBy>
  <cp:revision>1</cp:revision>
  <dcterms:created xsi:type="dcterms:W3CDTF">2026-09-16T10:55:04Z</dcterms:created>
  <dcterms:modified xsi:type="dcterms:W3CDTF">2026-09-16T12:21:33Z</dcterms:modified>
  <dc:language>en-US</dc:language>
</cp:coreProperties>
</file>