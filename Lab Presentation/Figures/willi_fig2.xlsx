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illiamWallisch\msc_workspace\SLiM\Lab Presentation\"/>
    </mc:Choice>
  </mc:AlternateContent>
  <xr:revisionPtr revIDLastSave="0" documentId="13_ncr:1_{06E43B6F-5377-462D-8037-9E0AF1811917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Panel A - drift" sheetId="1" r:id="rId1"/>
    <sheet name="Panel B - bottleneck" sheetId="2" r:id="rId2"/>
    <sheet name="Read m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6" i="2" l="1"/>
  <c r="A66" i="2"/>
  <c r="B65" i="2"/>
  <c r="A65" i="2"/>
  <c r="A64" i="2"/>
  <c r="B63" i="2"/>
  <c r="A63" i="2"/>
  <c r="E56" i="2"/>
  <c r="D56" i="2"/>
  <c r="C56" i="2"/>
  <c r="B56" i="2"/>
  <c r="E55" i="2"/>
  <c r="D55" i="2"/>
  <c r="C55" i="2"/>
  <c r="B55" i="2"/>
  <c r="E54" i="2"/>
  <c r="D54" i="2"/>
  <c r="C54" i="2"/>
  <c r="B54" i="2"/>
  <c r="E53" i="2"/>
  <c r="D53" i="2"/>
  <c r="C53" i="2"/>
  <c r="B53" i="2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64" i="2" s="1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B219" i="1"/>
  <c r="C219" i="1" s="1"/>
  <c r="A219" i="1"/>
  <c r="B218" i="1"/>
  <c r="C218" i="1" s="1"/>
  <c r="A218" i="1"/>
  <c r="A217" i="1"/>
  <c r="B216" i="1"/>
  <c r="C216" i="1" s="1"/>
  <c r="A216" i="1"/>
  <c r="A215" i="1"/>
  <c r="A214" i="1"/>
  <c r="G208" i="1"/>
  <c r="F208" i="1"/>
  <c r="E208" i="1"/>
  <c r="D208" i="1"/>
  <c r="C208" i="1"/>
  <c r="B208" i="1"/>
  <c r="G207" i="1"/>
  <c r="F207" i="1"/>
  <c r="E207" i="1"/>
  <c r="D207" i="1"/>
  <c r="C207" i="1"/>
  <c r="B207" i="1"/>
  <c r="G206" i="1"/>
  <c r="F206" i="1"/>
  <c r="E206" i="1"/>
  <c r="D206" i="1"/>
  <c r="C206" i="1"/>
  <c r="B206" i="1"/>
  <c r="G205" i="1"/>
  <c r="F205" i="1"/>
  <c r="E205" i="1"/>
  <c r="D205" i="1"/>
  <c r="C205" i="1"/>
  <c r="B205" i="1"/>
  <c r="G204" i="1"/>
  <c r="F204" i="1"/>
  <c r="E204" i="1"/>
  <c r="D204" i="1"/>
  <c r="C204" i="1"/>
  <c r="B204" i="1"/>
  <c r="G203" i="1"/>
  <c r="F203" i="1"/>
  <c r="E203" i="1"/>
  <c r="D203" i="1"/>
  <c r="C203" i="1"/>
  <c r="B203" i="1"/>
  <c r="G202" i="1"/>
  <c r="F202" i="1"/>
  <c r="E202" i="1"/>
  <c r="D202" i="1"/>
  <c r="C202" i="1"/>
  <c r="B202" i="1"/>
  <c r="G201" i="1"/>
  <c r="F201" i="1"/>
  <c r="E201" i="1"/>
  <c r="D201" i="1"/>
  <c r="C201" i="1"/>
  <c r="B201" i="1"/>
  <c r="G200" i="1"/>
  <c r="F200" i="1"/>
  <c r="E200" i="1"/>
  <c r="D200" i="1"/>
  <c r="C200" i="1"/>
  <c r="B200" i="1"/>
  <c r="G199" i="1"/>
  <c r="F199" i="1"/>
  <c r="E199" i="1"/>
  <c r="D199" i="1"/>
  <c r="C199" i="1"/>
  <c r="B199" i="1"/>
  <c r="G198" i="1"/>
  <c r="F198" i="1"/>
  <c r="E198" i="1"/>
  <c r="D198" i="1"/>
  <c r="C198" i="1"/>
  <c r="B198" i="1"/>
  <c r="G197" i="1"/>
  <c r="F197" i="1"/>
  <c r="E197" i="1"/>
  <c r="D197" i="1"/>
  <c r="C197" i="1"/>
  <c r="B197" i="1"/>
  <c r="G196" i="1"/>
  <c r="F196" i="1"/>
  <c r="E196" i="1"/>
  <c r="D196" i="1"/>
  <c r="C196" i="1"/>
  <c r="B196" i="1"/>
  <c r="G195" i="1"/>
  <c r="F195" i="1"/>
  <c r="E195" i="1"/>
  <c r="D195" i="1"/>
  <c r="C195" i="1"/>
  <c r="B195" i="1"/>
  <c r="G194" i="1"/>
  <c r="F194" i="1"/>
  <c r="E194" i="1"/>
  <c r="D194" i="1"/>
  <c r="C194" i="1"/>
  <c r="B194" i="1"/>
  <c r="G193" i="1"/>
  <c r="F193" i="1"/>
  <c r="E193" i="1"/>
  <c r="D193" i="1"/>
  <c r="C193" i="1"/>
  <c r="B193" i="1"/>
  <c r="G192" i="1"/>
  <c r="F192" i="1"/>
  <c r="E192" i="1"/>
  <c r="D192" i="1"/>
  <c r="C192" i="1"/>
  <c r="B192" i="1"/>
  <c r="G191" i="1"/>
  <c r="F191" i="1"/>
  <c r="E191" i="1"/>
  <c r="D191" i="1"/>
  <c r="C191" i="1"/>
  <c r="B191" i="1"/>
  <c r="G190" i="1"/>
  <c r="F190" i="1"/>
  <c r="E190" i="1"/>
  <c r="D190" i="1"/>
  <c r="C190" i="1"/>
  <c r="B190" i="1"/>
  <c r="G189" i="1"/>
  <c r="F189" i="1"/>
  <c r="E189" i="1"/>
  <c r="D189" i="1"/>
  <c r="C189" i="1"/>
  <c r="B189" i="1"/>
  <c r="G188" i="1"/>
  <c r="F188" i="1"/>
  <c r="E188" i="1"/>
  <c r="D188" i="1"/>
  <c r="C188" i="1"/>
  <c r="B188" i="1"/>
  <c r="G187" i="1"/>
  <c r="F187" i="1"/>
  <c r="E187" i="1"/>
  <c r="D187" i="1"/>
  <c r="C187" i="1"/>
  <c r="B187" i="1"/>
  <c r="G186" i="1"/>
  <c r="F186" i="1"/>
  <c r="E186" i="1"/>
  <c r="D186" i="1"/>
  <c r="C186" i="1"/>
  <c r="B186" i="1"/>
  <c r="G185" i="1"/>
  <c r="F185" i="1"/>
  <c r="E185" i="1"/>
  <c r="D185" i="1"/>
  <c r="C185" i="1"/>
  <c r="B185" i="1"/>
  <c r="G184" i="1"/>
  <c r="F184" i="1"/>
  <c r="E184" i="1"/>
  <c r="D184" i="1"/>
  <c r="C184" i="1"/>
  <c r="B184" i="1"/>
  <c r="G183" i="1"/>
  <c r="F183" i="1"/>
  <c r="E183" i="1"/>
  <c r="D183" i="1"/>
  <c r="C183" i="1"/>
  <c r="B183" i="1"/>
  <c r="G182" i="1"/>
  <c r="F182" i="1"/>
  <c r="E182" i="1"/>
  <c r="D182" i="1"/>
  <c r="C182" i="1"/>
  <c r="B182" i="1"/>
  <c r="G181" i="1"/>
  <c r="F181" i="1"/>
  <c r="E181" i="1"/>
  <c r="D181" i="1"/>
  <c r="C181" i="1"/>
  <c r="B181" i="1"/>
  <c r="G180" i="1"/>
  <c r="F180" i="1"/>
  <c r="E180" i="1"/>
  <c r="D180" i="1"/>
  <c r="C180" i="1"/>
  <c r="B180" i="1"/>
  <c r="G179" i="1"/>
  <c r="F179" i="1"/>
  <c r="E179" i="1"/>
  <c r="D179" i="1"/>
  <c r="C179" i="1"/>
  <c r="B179" i="1"/>
  <c r="G178" i="1"/>
  <c r="F178" i="1"/>
  <c r="E178" i="1"/>
  <c r="D178" i="1"/>
  <c r="C178" i="1"/>
  <c r="B178" i="1"/>
  <c r="G177" i="1"/>
  <c r="F177" i="1"/>
  <c r="E177" i="1"/>
  <c r="D177" i="1"/>
  <c r="C177" i="1"/>
  <c r="B177" i="1"/>
  <c r="G176" i="1"/>
  <c r="F176" i="1"/>
  <c r="E176" i="1"/>
  <c r="D176" i="1"/>
  <c r="C176" i="1"/>
  <c r="B176" i="1"/>
  <c r="G175" i="1"/>
  <c r="F175" i="1"/>
  <c r="E175" i="1"/>
  <c r="D175" i="1"/>
  <c r="C175" i="1"/>
  <c r="B175" i="1"/>
  <c r="G174" i="1"/>
  <c r="F174" i="1"/>
  <c r="E174" i="1"/>
  <c r="D174" i="1"/>
  <c r="C174" i="1"/>
  <c r="B174" i="1"/>
  <c r="G173" i="1"/>
  <c r="F173" i="1"/>
  <c r="E173" i="1"/>
  <c r="D173" i="1"/>
  <c r="C173" i="1"/>
  <c r="B173" i="1"/>
  <c r="G172" i="1"/>
  <c r="F172" i="1"/>
  <c r="E172" i="1"/>
  <c r="D172" i="1"/>
  <c r="C172" i="1"/>
  <c r="B172" i="1"/>
  <c r="G171" i="1"/>
  <c r="F171" i="1"/>
  <c r="E171" i="1"/>
  <c r="D171" i="1"/>
  <c r="C171" i="1"/>
  <c r="B171" i="1"/>
  <c r="G170" i="1"/>
  <c r="F170" i="1"/>
  <c r="E170" i="1"/>
  <c r="D170" i="1"/>
  <c r="C170" i="1"/>
  <c r="B170" i="1"/>
  <c r="G169" i="1"/>
  <c r="F169" i="1"/>
  <c r="E169" i="1"/>
  <c r="D169" i="1"/>
  <c r="C169" i="1"/>
  <c r="B169" i="1"/>
  <c r="G168" i="1"/>
  <c r="F168" i="1"/>
  <c r="E168" i="1"/>
  <c r="D168" i="1"/>
  <c r="C168" i="1"/>
  <c r="B168" i="1"/>
  <c r="G167" i="1"/>
  <c r="F167" i="1"/>
  <c r="E167" i="1"/>
  <c r="D167" i="1"/>
  <c r="C167" i="1"/>
  <c r="B167" i="1"/>
  <c r="G166" i="1"/>
  <c r="F166" i="1"/>
  <c r="E166" i="1"/>
  <c r="D166" i="1"/>
  <c r="C166" i="1"/>
  <c r="B166" i="1"/>
  <c r="G165" i="1"/>
  <c r="F165" i="1"/>
  <c r="E165" i="1"/>
  <c r="D165" i="1"/>
  <c r="C165" i="1"/>
  <c r="B165" i="1"/>
  <c r="G164" i="1"/>
  <c r="F164" i="1"/>
  <c r="E164" i="1"/>
  <c r="D164" i="1"/>
  <c r="C164" i="1"/>
  <c r="B164" i="1"/>
  <c r="G163" i="1"/>
  <c r="F163" i="1"/>
  <c r="E163" i="1"/>
  <c r="D163" i="1"/>
  <c r="C163" i="1"/>
  <c r="B163" i="1"/>
  <c r="G162" i="1"/>
  <c r="F162" i="1"/>
  <c r="E162" i="1"/>
  <c r="D162" i="1"/>
  <c r="C162" i="1"/>
  <c r="B162" i="1"/>
  <c r="G161" i="1"/>
  <c r="F161" i="1"/>
  <c r="E161" i="1"/>
  <c r="D161" i="1"/>
  <c r="C161" i="1"/>
  <c r="B161" i="1"/>
  <c r="G160" i="1"/>
  <c r="F160" i="1"/>
  <c r="E160" i="1"/>
  <c r="D160" i="1"/>
  <c r="C160" i="1"/>
  <c r="B160" i="1"/>
  <c r="G159" i="1"/>
  <c r="F159" i="1"/>
  <c r="E159" i="1"/>
  <c r="D159" i="1"/>
  <c r="C159" i="1"/>
  <c r="B159" i="1"/>
  <c r="G158" i="1"/>
  <c r="F158" i="1"/>
  <c r="E158" i="1"/>
  <c r="D158" i="1"/>
  <c r="C158" i="1"/>
  <c r="B158" i="1"/>
  <c r="G157" i="1"/>
  <c r="F157" i="1"/>
  <c r="E157" i="1"/>
  <c r="D157" i="1"/>
  <c r="C157" i="1"/>
  <c r="B157" i="1"/>
  <c r="G156" i="1"/>
  <c r="F156" i="1"/>
  <c r="E156" i="1"/>
  <c r="D156" i="1"/>
  <c r="C156" i="1"/>
  <c r="B156" i="1"/>
  <c r="G155" i="1"/>
  <c r="F155" i="1"/>
  <c r="E155" i="1"/>
  <c r="D155" i="1"/>
  <c r="C155" i="1"/>
  <c r="B155" i="1"/>
  <c r="G154" i="1"/>
  <c r="F154" i="1"/>
  <c r="E154" i="1"/>
  <c r="D154" i="1"/>
  <c r="C154" i="1"/>
  <c r="B154" i="1"/>
  <c r="G153" i="1"/>
  <c r="F153" i="1"/>
  <c r="E153" i="1"/>
  <c r="D153" i="1"/>
  <c r="C153" i="1"/>
  <c r="B153" i="1"/>
  <c r="G152" i="1"/>
  <c r="F152" i="1"/>
  <c r="E152" i="1"/>
  <c r="D152" i="1"/>
  <c r="C152" i="1"/>
  <c r="B152" i="1"/>
  <c r="G151" i="1"/>
  <c r="F151" i="1"/>
  <c r="E151" i="1"/>
  <c r="D151" i="1"/>
  <c r="C151" i="1"/>
  <c r="B151" i="1"/>
  <c r="G150" i="1"/>
  <c r="F150" i="1"/>
  <c r="E150" i="1"/>
  <c r="D150" i="1"/>
  <c r="C150" i="1"/>
  <c r="B150" i="1"/>
  <c r="G149" i="1"/>
  <c r="F149" i="1"/>
  <c r="E149" i="1"/>
  <c r="D149" i="1"/>
  <c r="C149" i="1"/>
  <c r="B149" i="1"/>
  <c r="G148" i="1"/>
  <c r="F148" i="1"/>
  <c r="E148" i="1"/>
  <c r="D148" i="1"/>
  <c r="C148" i="1"/>
  <c r="B148" i="1"/>
  <c r="G147" i="1"/>
  <c r="F147" i="1"/>
  <c r="E147" i="1"/>
  <c r="D147" i="1"/>
  <c r="C147" i="1"/>
  <c r="B147" i="1"/>
  <c r="G146" i="1"/>
  <c r="F146" i="1"/>
  <c r="E146" i="1"/>
  <c r="D146" i="1"/>
  <c r="C146" i="1"/>
  <c r="B146" i="1"/>
  <c r="G145" i="1"/>
  <c r="F145" i="1"/>
  <c r="E145" i="1"/>
  <c r="D145" i="1"/>
  <c r="C145" i="1"/>
  <c r="B145" i="1"/>
  <c r="G144" i="1"/>
  <c r="F144" i="1"/>
  <c r="E144" i="1"/>
  <c r="D144" i="1"/>
  <c r="C144" i="1"/>
  <c r="B144" i="1"/>
  <c r="G143" i="1"/>
  <c r="F143" i="1"/>
  <c r="E143" i="1"/>
  <c r="D143" i="1"/>
  <c r="C143" i="1"/>
  <c r="B143" i="1"/>
  <c r="G142" i="1"/>
  <c r="F142" i="1"/>
  <c r="E142" i="1"/>
  <c r="D142" i="1"/>
  <c r="C142" i="1"/>
  <c r="B142" i="1"/>
  <c r="G141" i="1"/>
  <c r="F141" i="1"/>
  <c r="E141" i="1"/>
  <c r="D141" i="1"/>
  <c r="C141" i="1"/>
  <c r="B141" i="1"/>
  <c r="G140" i="1"/>
  <c r="F140" i="1"/>
  <c r="E140" i="1"/>
  <c r="D140" i="1"/>
  <c r="C140" i="1"/>
  <c r="B140" i="1"/>
  <c r="G139" i="1"/>
  <c r="F139" i="1"/>
  <c r="E139" i="1"/>
  <c r="D139" i="1"/>
  <c r="C139" i="1"/>
  <c r="B139" i="1"/>
  <c r="G138" i="1"/>
  <c r="F138" i="1"/>
  <c r="E138" i="1"/>
  <c r="D138" i="1"/>
  <c r="C138" i="1"/>
  <c r="B138" i="1"/>
  <c r="G137" i="1"/>
  <c r="F137" i="1"/>
  <c r="E137" i="1"/>
  <c r="D137" i="1"/>
  <c r="C137" i="1"/>
  <c r="B137" i="1"/>
  <c r="G136" i="1"/>
  <c r="F136" i="1"/>
  <c r="E136" i="1"/>
  <c r="D136" i="1"/>
  <c r="C136" i="1"/>
  <c r="B136" i="1"/>
  <c r="G135" i="1"/>
  <c r="F135" i="1"/>
  <c r="E135" i="1"/>
  <c r="D135" i="1"/>
  <c r="C135" i="1"/>
  <c r="B135" i="1"/>
  <c r="G134" i="1"/>
  <c r="F134" i="1"/>
  <c r="E134" i="1"/>
  <c r="D134" i="1"/>
  <c r="C134" i="1"/>
  <c r="B134" i="1"/>
  <c r="G133" i="1"/>
  <c r="F133" i="1"/>
  <c r="E133" i="1"/>
  <c r="D133" i="1"/>
  <c r="C133" i="1"/>
  <c r="B133" i="1"/>
  <c r="G132" i="1"/>
  <c r="F132" i="1"/>
  <c r="E132" i="1"/>
  <c r="D132" i="1"/>
  <c r="C132" i="1"/>
  <c r="B132" i="1"/>
  <c r="G131" i="1"/>
  <c r="F131" i="1"/>
  <c r="E131" i="1"/>
  <c r="D131" i="1"/>
  <c r="C131" i="1"/>
  <c r="B131" i="1"/>
  <c r="G130" i="1"/>
  <c r="F130" i="1"/>
  <c r="E130" i="1"/>
  <c r="D130" i="1"/>
  <c r="C130" i="1"/>
  <c r="B130" i="1"/>
  <c r="G129" i="1"/>
  <c r="F129" i="1"/>
  <c r="E129" i="1"/>
  <c r="D129" i="1"/>
  <c r="C129" i="1"/>
  <c r="B129" i="1"/>
  <c r="G128" i="1"/>
  <c r="F128" i="1"/>
  <c r="E128" i="1"/>
  <c r="D128" i="1"/>
  <c r="C128" i="1"/>
  <c r="B128" i="1"/>
  <c r="G127" i="1"/>
  <c r="F127" i="1"/>
  <c r="E127" i="1"/>
  <c r="D127" i="1"/>
  <c r="C127" i="1"/>
  <c r="B127" i="1"/>
  <c r="G126" i="1"/>
  <c r="F126" i="1"/>
  <c r="E126" i="1"/>
  <c r="D126" i="1"/>
  <c r="C126" i="1"/>
  <c r="B126" i="1"/>
  <c r="G125" i="1"/>
  <c r="F125" i="1"/>
  <c r="E125" i="1"/>
  <c r="D125" i="1"/>
  <c r="C125" i="1"/>
  <c r="B125" i="1"/>
  <c r="G124" i="1"/>
  <c r="F124" i="1"/>
  <c r="E124" i="1"/>
  <c r="D124" i="1"/>
  <c r="C124" i="1"/>
  <c r="B124" i="1"/>
  <c r="G123" i="1"/>
  <c r="F123" i="1"/>
  <c r="E123" i="1"/>
  <c r="D123" i="1"/>
  <c r="C123" i="1"/>
  <c r="B123" i="1"/>
  <c r="G122" i="1"/>
  <c r="F122" i="1"/>
  <c r="E122" i="1"/>
  <c r="D122" i="1"/>
  <c r="C122" i="1"/>
  <c r="B122" i="1"/>
  <c r="G121" i="1"/>
  <c r="F121" i="1"/>
  <c r="E121" i="1"/>
  <c r="D121" i="1"/>
  <c r="C121" i="1"/>
  <c r="B121" i="1"/>
  <c r="G120" i="1"/>
  <c r="F120" i="1"/>
  <c r="E120" i="1"/>
  <c r="D120" i="1"/>
  <c r="C120" i="1"/>
  <c r="B120" i="1"/>
  <c r="G119" i="1"/>
  <c r="F119" i="1"/>
  <c r="E119" i="1"/>
  <c r="D119" i="1"/>
  <c r="C119" i="1"/>
  <c r="B119" i="1"/>
  <c r="G118" i="1"/>
  <c r="F118" i="1"/>
  <c r="E118" i="1"/>
  <c r="D118" i="1"/>
  <c r="C118" i="1"/>
  <c r="B118" i="1"/>
  <c r="G117" i="1"/>
  <c r="F117" i="1"/>
  <c r="E117" i="1"/>
  <c r="D117" i="1"/>
  <c r="C117" i="1"/>
  <c r="B117" i="1"/>
  <c r="G116" i="1"/>
  <c r="F116" i="1"/>
  <c r="E116" i="1"/>
  <c r="D116" i="1"/>
  <c r="C116" i="1"/>
  <c r="B116" i="1"/>
  <c r="G115" i="1"/>
  <c r="F115" i="1"/>
  <c r="E115" i="1"/>
  <c r="D115" i="1"/>
  <c r="C115" i="1"/>
  <c r="B115" i="1"/>
  <c r="G114" i="1"/>
  <c r="F114" i="1"/>
  <c r="E114" i="1"/>
  <c r="D114" i="1"/>
  <c r="C114" i="1"/>
  <c r="B114" i="1"/>
  <c r="G113" i="1"/>
  <c r="F113" i="1"/>
  <c r="E113" i="1"/>
  <c r="D113" i="1"/>
  <c r="C113" i="1"/>
  <c r="B113" i="1"/>
  <c r="G112" i="1"/>
  <c r="F112" i="1"/>
  <c r="E112" i="1"/>
  <c r="D112" i="1"/>
  <c r="C112" i="1"/>
  <c r="B112" i="1"/>
  <c r="G111" i="1"/>
  <c r="F111" i="1"/>
  <c r="E111" i="1"/>
  <c r="D111" i="1"/>
  <c r="C111" i="1"/>
  <c r="B111" i="1"/>
  <c r="G110" i="1"/>
  <c r="F110" i="1"/>
  <c r="E110" i="1"/>
  <c r="D110" i="1"/>
  <c r="C110" i="1"/>
  <c r="B110" i="1"/>
  <c r="G109" i="1"/>
  <c r="F109" i="1"/>
  <c r="E109" i="1"/>
  <c r="D109" i="1"/>
  <c r="C109" i="1"/>
  <c r="B109" i="1"/>
  <c r="G108" i="1"/>
  <c r="F108" i="1"/>
  <c r="E108" i="1"/>
  <c r="B217" i="1" s="1"/>
  <c r="C217" i="1" s="1"/>
  <c r="D108" i="1"/>
  <c r="C108" i="1"/>
  <c r="B215" i="1" s="1"/>
  <c r="C215" i="1" s="1"/>
  <c r="B108" i="1"/>
  <c r="B214" i="1" s="1"/>
  <c r="C214" i="1" s="1"/>
  <c r="G107" i="1"/>
  <c r="F107" i="1"/>
  <c r="E107" i="1"/>
  <c r="D107" i="1"/>
  <c r="C107" i="1"/>
  <c r="B107" i="1"/>
  <c r="G106" i="1"/>
  <c r="F106" i="1"/>
  <c r="E106" i="1"/>
  <c r="D106" i="1"/>
  <c r="C106" i="1"/>
  <c r="B106" i="1"/>
  <c r="G105" i="1"/>
  <c r="F105" i="1"/>
  <c r="E105" i="1"/>
  <c r="D105" i="1"/>
  <c r="C105" i="1"/>
  <c r="B105" i="1"/>
  <c r="G104" i="1"/>
  <c r="F104" i="1"/>
  <c r="E104" i="1"/>
  <c r="D104" i="1"/>
  <c r="C104" i="1"/>
  <c r="B104" i="1"/>
  <c r="G103" i="1"/>
  <c r="F103" i="1"/>
  <c r="E103" i="1"/>
  <c r="D103" i="1"/>
  <c r="C103" i="1"/>
  <c r="B103" i="1"/>
  <c r="G102" i="1"/>
  <c r="F102" i="1"/>
  <c r="E102" i="1"/>
  <c r="D102" i="1"/>
  <c r="C102" i="1"/>
  <c r="B102" i="1"/>
  <c r="G101" i="1"/>
  <c r="F101" i="1"/>
  <c r="E101" i="1"/>
  <c r="D101" i="1"/>
  <c r="C101" i="1"/>
  <c r="B101" i="1"/>
  <c r="G100" i="1"/>
  <c r="F100" i="1"/>
  <c r="E100" i="1"/>
  <c r="D100" i="1"/>
  <c r="C100" i="1"/>
  <c r="B100" i="1"/>
  <c r="G99" i="1"/>
  <c r="F99" i="1"/>
  <c r="E99" i="1"/>
  <c r="D99" i="1"/>
  <c r="C99" i="1"/>
  <c r="B99" i="1"/>
  <c r="G98" i="1"/>
  <c r="F98" i="1"/>
  <c r="E98" i="1"/>
  <c r="D98" i="1"/>
  <c r="C98" i="1"/>
  <c r="B98" i="1"/>
  <c r="G97" i="1"/>
  <c r="F97" i="1"/>
  <c r="E97" i="1"/>
  <c r="D97" i="1"/>
  <c r="C97" i="1"/>
  <c r="B97" i="1"/>
  <c r="G96" i="1"/>
  <c r="F96" i="1"/>
  <c r="E96" i="1"/>
  <c r="D96" i="1"/>
  <c r="C96" i="1"/>
  <c r="B96" i="1"/>
  <c r="G95" i="1"/>
  <c r="F95" i="1"/>
  <c r="E95" i="1"/>
  <c r="D95" i="1"/>
  <c r="C95" i="1"/>
  <c r="B95" i="1"/>
  <c r="G94" i="1"/>
  <c r="F94" i="1"/>
  <c r="E94" i="1"/>
  <c r="D94" i="1"/>
  <c r="C94" i="1"/>
  <c r="B94" i="1"/>
  <c r="G93" i="1"/>
  <c r="F93" i="1"/>
  <c r="E93" i="1"/>
  <c r="D93" i="1"/>
  <c r="C93" i="1"/>
  <c r="B93" i="1"/>
  <c r="G92" i="1"/>
  <c r="F92" i="1"/>
  <c r="E92" i="1"/>
  <c r="D92" i="1"/>
  <c r="C92" i="1"/>
  <c r="B92" i="1"/>
  <c r="G91" i="1"/>
  <c r="F91" i="1"/>
  <c r="E91" i="1"/>
  <c r="D91" i="1"/>
  <c r="C91" i="1"/>
  <c r="B91" i="1"/>
  <c r="G90" i="1"/>
  <c r="F90" i="1"/>
  <c r="E90" i="1"/>
  <c r="D90" i="1"/>
  <c r="C90" i="1"/>
  <c r="B90" i="1"/>
  <c r="G89" i="1"/>
  <c r="F89" i="1"/>
  <c r="E89" i="1"/>
  <c r="D89" i="1"/>
  <c r="C89" i="1"/>
  <c r="B89" i="1"/>
  <c r="G88" i="1"/>
  <c r="F88" i="1"/>
  <c r="E88" i="1"/>
  <c r="D88" i="1"/>
  <c r="C88" i="1"/>
  <c r="B88" i="1"/>
  <c r="G87" i="1"/>
  <c r="F87" i="1"/>
  <c r="E87" i="1"/>
  <c r="D87" i="1"/>
  <c r="C87" i="1"/>
  <c r="B87" i="1"/>
  <c r="G86" i="1"/>
  <c r="F86" i="1"/>
  <c r="E86" i="1"/>
  <c r="D86" i="1"/>
  <c r="C86" i="1"/>
  <c r="B86" i="1"/>
  <c r="G85" i="1"/>
  <c r="F85" i="1"/>
  <c r="E85" i="1"/>
  <c r="D85" i="1"/>
  <c r="C85" i="1"/>
  <c r="B85" i="1"/>
  <c r="G84" i="1"/>
  <c r="F84" i="1"/>
  <c r="E84" i="1"/>
  <c r="D84" i="1"/>
  <c r="C84" i="1"/>
  <c r="B84" i="1"/>
  <c r="G83" i="1"/>
  <c r="F83" i="1"/>
  <c r="E83" i="1"/>
  <c r="D83" i="1"/>
  <c r="C83" i="1"/>
  <c r="B83" i="1"/>
  <c r="G82" i="1"/>
  <c r="F82" i="1"/>
  <c r="E82" i="1"/>
  <c r="D82" i="1"/>
  <c r="C82" i="1"/>
  <c r="B82" i="1"/>
  <c r="G81" i="1"/>
  <c r="F81" i="1"/>
  <c r="E81" i="1"/>
  <c r="D81" i="1"/>
  <c r="C81" i="1"/>
  <c r="B81" i="1"/>
  <c r="G80" i="1"/>
  <c r="F80" i="1"/>
  <c r="E80" i="1"/>
  <c r="D80" i="1"/>
  <c r="C80" i="1"/>
  <c r="B80" i="1"/>
  <c r="G79" i="1"/>
  <c r="F79" i="1"/>
  <c r="E79" i="1"/>
  <c r="D79" i="1"/>
  <c r="C79" i="1"/>
  <c r="B79" i="1"/>
  <c r="G78" i="1"/>
  <c r="F78" i="1"/>
  <c r="E78" i="1"/>
  <c r="D78" i="1"/>
  <c r="C78" i="1"/>
  <c r="B78" i="1"/>
  <c r="G77" i="1"/>
  <c r="F77" i="1"/>
  <c r="E77" i="1"/>
  <c r="D77" i="1"/>
  <c r="C77" i="1"/>
  <c r="B77" i="1"/>
  <c r="G76" i="1"/>
  <c r="F76" i="1"/>
  <c r="E76" i="1"/>
  <c r="D76" i="1"/>
  <c r="C76" i="1"/>
  <c r="B76" i="1"/>
  <c r="G75" i="1"/>
  <c r="F75" i="1"/>
  <c r="E75" i="1"/>
  <c r="D75" i="1"/>
  <c r="C75" i="1"/>
  <c r="B75" i="1"/>
  <c r="G74" i="1"/>
  <c r="F74" i="1"/>
  <c r="E74" i="1"/>
  <c r="D74" i="1"/>
  <c r="C74" i="1"/>
  <c r="B74" i="1"/>
  <c r="G73" i="1"/>
  <c r="F73" i="1"/>
  <c r="E73" i="1"/>
  <c r="D73" i="1"/>
  <c r="C73" i="1"/>
  <c r="B73" i="1"/>
  <c r="G72" i="1"/>
  <c r="F72" i="1"/>
  <c r="E72" i="1"/>
  <c r="D72" i="1"/>
  <c r="C72" i="1"/>
  <c r="B72" i="1"/>
  <c r="G71" i="1"/>
  <c r="F71" i="1"/>
  <c r="E71" i="1"/>
  <c r="D71" i="1"/>
  <c r="C71" i="1"/>
  <c r="B71" i="1"/>
  <c r="G70" i="1"/>
  <c r="F70" i="1"/>
  <c r="E70" i="1"/>
  <c r="D70" i="1"/>
  <c r="C70" i="1"/>
  <c r="B70" i="1"/>
  <c r="G69" i="1"/>
  <c r="F69" i="1"/>
  <c r="E69" i="1"/>
  <c r="D69" i="1"/>
  <c r="C69" i="1"/>
  <c r="B69" i="1"/>
  <c r="G68" i="1"/>
  <c r="F68" i="1"/>
  <c r="E68" i="1"/>
  <c r="D68" i="1"/>
  <c r="C68" i="1"/>
  <c r="B68" i="1"/>
  <c r="G67" i="1"/>
  <c r="F67" i="1"/>
  <c r="E67" i="1"/>
  <c r="D67" i="1"/>
  <c r="C67" i="1"/>
  <c r="B67" i="1"/>
  <c r="G66" i="1"/>
  <c r="F66" i="1"/>
  <c r="E66" i="1"/>
  <c r="D66" i="1"/>
  <c r="C66" i="1"/>
  <c r="B66" i="1"/>
  <c r="G65" i="1"/>
  <c r="F65" i="1"/>
  <c r="E65" i="1"/>
  <c r="D65" i="1"/>
  <c r="C65" i="1"/>
  <c r="B65" i="1"/>
  <c r="G64" i="1"/>
  <c r="F64" i="1"/>
  <c r="E64" i="1"/>
  <c r="D64" i="1"/>
  <c r="C64" i="1"/>
  <c r="B64" i="1"/>
  <c r="G63" i="1"/>
  <c r="F63" i="1"/>
  <c r="E63" i="1"/>
  <c r="D63" i="1"/>
  <c r="C63" i="1"/>
  <c r="B63" i="1"/>
  <c r="G62" i="1"/>
  <c r="F62" i="1"/>
  <c r="E62" i="1"/>
  <c r="D62" i="1"/>
  <c r="C62" i="1"/>
  <c r="B62" i="1"/>
  <c r="G61" i="1"/>
  <c r="F61" i="1"/>
  <c r="E61" i="1"/>
  <c r="D61" i="1"/>
  <c r="C61" i="1"/>
  <c r="B61" i="1"/>
  <c r="G60" i="1"/>
  <c r="F60" i="1"/>
  <c r="E60" i="1"/>
  <c r="D60" i="1"/>
  <c r="C60" i="1"/>
  <c r="B60" i="1"/>
  <c r="G59" i="1"/>
  <c r="F59" i="1"/>
  <c r="E59" i="1"/>
  <c r="D59" i="1"/>
  <c r="C59" i="1"/>
  <c r="B59" i="1"/>
  <c r="G58" i="1"/>
  <c r="F58" i="1"/>
  <c r="E58" i="1"/>
  <c r="D58" i="1"/>
  <c r="C58" i="1"/>
  <c r="B58" i="1"/>
  <c r="G57" i="1"/>
  <c r="F57" i="1"/>
  <c r="E57" i="1"/>
  <c r="D57" i="1"/>
  <c r="C57" i="1"/>
  <c r="B57" i="1"/>
  <c r="G56" i="1"/>
  <c r="F56" i="1"/>
  <c r="E56" i="1"/>
  <c r="D56" i="1"/>
  <c r="C56" i="1"/>
  <c r="B56" i="1"/>
  <c r="G55" i="1"/>
  <c r="F55" i="1"/>
  <c r="E55" i="1"/>
  <c r="D55" i="1"/>
  <c r="C55" i="1"/>
  <c r="B55" i="1"/>
  <c r="G54" i="1"/>
  <c r="F54" i="1"/>
  <c r="E54" i="1"/>
  <c r="D54" i="1"/>
  <c r="C54" i="1"/>
  <c r="B54" i="1"/>
  <c r="G53" i="1"/>
  <c r="F53" i="1"/>
  <c r="E53" i="1"/>
  <c r="D53" i="1"/>
  <c r="C53" i="1"/>
  <c r="B53" i="1"/>
  <c r="G52" i="1"/>
  <c r="F52" i="1"/>
  <c r="E52" i="1"/>
  <c r="D52" i="1"/>
  <c r="C52" i="1"/>
  <c r="B52" i="1"/>
  <c r="G51" i="1"/>
  <c r="F51" i="1"/>
  <c r="E51" i="1"/>
  <c r="D51" i="1"/>
  <c r="C51" i="1"/>
  <c r="B51" i="1"/>
  <c r="G50" i="1"/>
  <c r="F50" i="1"/>
  <c r="E50" i="1"/>
  <c r="D50" i="1"/>
  <c r="C50" i="1"/>
  <c r="B50" i="1"/>
  <c r="G49" i="1"/>
  <c r="F49" i="1"/>
  <c r="E49" i="1"/>
  <c r="D49" i="1"/>
  <c r="C49" i="1"/>
  <c r="B49" i="1"/>
  <c r="G48" i="1"/>
  <c r="F48" i="1"/>
  <c r="E48" i="1"/>
  <c r="D48" i="1"/>
  <c r="C48" i="1"/>
  <c r="B48" i="1"/>
  <c r="G47" i="1"/>
  <c r="F47" i="1"/>
  <c r="E47" i="1"/>
  <c r="D47" i="1"/>
  <c r="C47" i="1"/>
  <c r="B47" i="1"/>
  <c r="G46" i="1"/>
  <c r="F46" i="1"/>
  <c r="E46" i="1"/>
  <c r="D46" i="1"/>
  <c r="C46" i="1"/>
  <c r="B46" i="1"/>
  <c r="G45" i="1"/>
  <c r="F45" i="1"/>
  <c r="E45" i="1"/>
  <c r="D45" i="1"/>
  <c r="C45" i="1"/>
  <c r="B45" i="1"/>
  <c r="G44" i="1"/>
  <c r="F44" i="1"/>
  <c r="E44" i="1"/>
  <c r="D44" i="1"/>
  <c r="C44" i="1"/>
  <c r="B44" i="1"/>
  <c r="G43" i="1"/>
  <c r="F43" i="1"/>
  <c r="E43" i="1"/>
  <c r="D43" i="1"/>
  <c r="C43" i="1"/>
  <c r="B43" i="1"/>
  <c r="G42" i="1"/>
  <c r="F42" i="1"/>
  <c r="E42" i="1"/>
  <c r="D42" i="1"/>
  <c r="C42" i="1"/>
  <c r="B42" i="1"/>
  <c r="G41" i="1"/>
  <c r="F41" i="1"/>
  <c r="E41" i="1"/>
  <c r="D41" i="1"/>
  <c r="C41" i="1"/>
  <c r="B41" i="1"/>
  <c r="G40" i="1"/>
  <c r="F40" i="1"/>
  <c r="E40" i="1"/>
  <c r="D40" i="1"/>
  <c r="C40" i="1"/>
  <c r="B40" i="1"/>
  <c r="G39" i="1"/>
  <c r="F39" i="1"/>
  <c r="E39" i="1"/>
  <c r="D39" i="1"/>
  <c r="C39" i="1"/>
  <c r="B39" i="1"/>
  <c r="G38" i="1"/>
  <c r="F38" i="1"/>
  <c r="E38" i="1"/>
  <c r="D38" i="1"/>
  <c r="C38" i="1"/>
  <c r="B38" i="1"/>
  <c r="G37" i="1"/>
  <c r="F37" i="1"/>
  <c r="E37" i="1"/>
  <c r="D37" i="1"/>
  <c r="C37" i="1"/>
  <c r="B37" i="1"/>
  <c r="G36" i="1"/>
  <c r="F36" i="1"/>
  <c r="E36" i="1"/>
  <c r="D36" i="1"/>
  <c r="C36" i="1"/>
  <c r="B36" i="1"/>
  <c r="G35" i="1"/>
  <c r="F35" i="1"/>
  <c r="E35" i="1"/>
  <c r="D35" i="1"/>
  <c r="C35" i="1"/>
  <c r="B35" i="1"/>
  <c r="G34" i="1"/>
  <c r="F34" i="1"/>
  <c r="E34" i="1"/>
  <c r="D34" i="1"/>
  <c r="C34" i="1"/>
  <c r="B34" i="1"/>
  <c r="G33" i="1"/>
  <c r="F33" i="1"/>
  <c r="E33" i="1"/>
  <c r="D33" i="1"/>
  <c r="C33" i="1"/>
  <c r="B33" i="1"/>
  <c r="G32" i="1"/>
  <c r="F32" i="1"/>
  <c r="E32" i="1"/>
  <c r="D32" i="1"/>
  <c r="C32" i="1"/>
  <c r="B32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C29" i="1"/>
  <c r="B29" i="1"/>
  <c r="G28" i="1"/>
  <c r="F28" i="1"/>
  <c r="E28" i="1"/>
  <c r="D28" i="1"/>
  <c r="C28" i="1"/>
  <c r="B28" i="1"/>
  <c r="G27" i="1"/>
  <c r="F27" i="1"/>
  <c r="E27" i="1"/>
  <c r="D27" i="1"/>
  <c r="C27" i="1"/>
  <c r="B27" i="1"/>
  <c r="G26" i="1"/>
  <c r="F26" i="1"/>
  <c r="E26" i="1"/>
  <c r="D26" i="1"/>
  <c r="C26" i="1"/>
  <c r="B26" i="1"/>
  <c r="G25" i="1"/>
  <c r="F25" i="1"/>
  <c r="E25" i="1"/>
  <c r="D25" i="1"/>
  <c r="C25" i="1"/>
  <c r="B25" i="1"/>
  <c r="G24" i="1"/>
  <c r="F24" i="1"/>
  <c r="E24" i="1"/>
  <c r="D24" i="1"/>
  <c r="C24" i="1"/>
  <c r="B24" i="1"/>
  <c r="G23" i="1"/>
  <c r="F23" i="1"/>
  <c r="E23" i="1"/>
  <c r="D23" i="1"/>
  <c r="C23" i="1"/>
  <c r="B23" i="1"/>
  <c r="G22" i="1"/>
  <c r="F22" i="1"/>
  <c r="E22" i="1"/>
  <c r="D22" i="1"/>
  <c r="C22" i="1"/>
  <c r="B22" i="1"/>
  <c r="G21" i="1"/>
  <c r="F21" i="1"/>
  <c r="E21" i="1"/>
  <c r="D21" i="1"/>
  <c r="C21" i="1"/>
  <c r="B21" i="1"/>
  <c r="G20" i="1"/>
  <c r="F20" i="1"/>
  <c r="E20" i="1"/>
  <c r="D20" i="1"/>
  <c r="C20" i="1"/>
  <c r="B20" i="1"/>
  <c r="G19" i="1"/>
  <c r="F19" i="1"/>
  <c r="E19" i="1"/>
  <c r="D19" i="1"/>
  <c r="C19" i="1"/>
  <c r="B19" i="1"/>
  <c r="G18" i="1"/>
  <c r="F18" i="1"/>
  <c r="E18" i="1"/>
  <c r="D18" i="1"/>
  <c r="C18" i="1"/>
  <c r="B18" i="1"/>
  <c r="G17" i="1"/>
  <c r="F17" i="1"/>
  <c r="E17" i="1"/>
  <c r="D17" i="1"/>
  <c r="C17" i="1"/>
  <c r="B17" i="1"/>
  <c r="G16" i="1"/>
  <c r="F16" i="1"/>
  <c r="E16" i="1"/>
  <c r="D16" i="1"/>
  <c r="C16" i="1"/>
  <c r="B16" i="1"/>
  <c r="G15" i="1"/>
  <c r="F15" i="1"/>
  <c r="E15" i="1"/>
  <c r="D15" i="1"/>
  <c r="C15" i="1"/>
  <c r="B15" i="1"/>
  <c r="G14" i="1"/>
  <c r="F14" i="1"/>
  <c r="E14" i="1"/>
  <c r="D14" i="1"/>
  <c r="C14" i="1"/>
  <c r="B14" i="1"/>
  <c r="G13" i="1"/>
  <c r="F13" i="1"/>
  <c r="E13" i="1"/>
  <c r="D13" i="1"/>
  <c r="C13" i="1"/>
  <c r="B13" i="1"/>
  <c r="G12" i="1"/>
  <c r="F12" i="1"/>
  <c r="E12" i="1"/>
  <c r="D12" i="1"/>
  <c r="C12" i="1"/>
  <c r="B12" i="1"/>
  <c r="G11" i="1"/>
  <c r="F11" i="1"/>
  <c r="E11" i="1"/>
  <c r="D11" i="1"/>
  <c r="C11" i="1"/>
  <c r="B11" i="1"/>
  <c r="G10" i="1"/>
  <c r="F10" i="1"/>
  <c r="E10" i="1"/>
  <c r="D10" i="1"/>
  <c r="C10" i="1"/>
  <c r="B10" i="1"/>
  <c r="G9" i="1"/>
  <c r="F9" i="1"/>
  <c r="E9" i="1"/>
  <c r="D9" i="1"/>
  <c r="C9" i="1"/>
  <c r="B9" i="1"/>
  <c r="G8" i="1"/>
  <c r="F8" i="1"/>
  <c r="E8" i="1"/>
  <c r="D8" i="1"/>
  <c r="C8" i="1"/>
  <c r="B8" i="1"/>
  <c r="G7" i="1"/>
  <c r="F7" i="1"/>
  <c r="E7" i="1"/>
  <c r="D7" i="1"/>
  <c r="C7" i="1"/>
  <c r="B7" i="1"/>
</calcChain>
</file>

<file path=xl/sharedStrings.xml><?xml version="1.0" encoding="utf-8"?>
<sst xmlns="http://schemas.openxmlformats.org/spreadsheetml/2006/main" count="47" uniqueCount="44">
  <si>
    <t>Figure 2A - loss of heterozygosity by genetic drift</t>
  </si>
  <si>
    <t>H(t) = H0 x (1 - 1/(2Ne))^t      Crow &amp; Kimura 1970, after Willi et al. 2022 PNAS 119:e2105076119, fig. 2A</t>
  </si>
  <si>
    <t>Starting heterozygosity, H0</t>
  </si>
  <si>
    <t>&lt;- yellow cells are inputs; edit them and everything below recalculates</t>
  </si>
  <si>
    <t>Ne</t>
  </si>
  <si>
    <t>Generation</t>
  </si>
  <si>
    <t>Heterozygosity retained</t>
  </si>
  <si>
    <t>Generations elapsed</t>
  </si>
  <si>
    <t>H retained</t>
  </si>
  <si>
    <t>H lost</t>
  </si>
  <si>
    <t>Ne 500 is the GBF headline indicator A.4 threshold. Note that the curve for 500 sits close to 1000 over 100 generations - the decay is smooth in Ne, so this equation shows no tipping point at 500. See the Read me sheet.</t>
  </si>
  <si>
    <t>Figure 2B - retention of a rare allele through a single-generation bottleneck</t>
  </si>
  <si>
    <t>P(retained) = 1 - (1 - q')^(2Ne)      one locus, two alleles, q' the starting frequency of the rare allele; 2Ne gene copies sampled</t>
  </si>
  <si>
    <t>q'</t>
  </si>
  <si>
    <t>Bottleneck size (Ne)</t>
  </si>
  <si>
    <t>Retention at a given bottleneck size</t>
  </si>
  <si>
    <t>P(retained)</t>
  </si>
  <si>
    <t>Rebuilding Willi et al. figure 2, with Ne = 500 added</t>
  </si>
  <si>
    <t>Source</t>
  </si>
  <si>
    <t>Willi Y, Kristensen TN, Sgro CM, Weeks AR, Orsted M, Hoffmann AA (2022).</t>
  </si>
  <si>
    <t>Conservation genetics as a management tool: the five best-supported paradigms to assist</t>
  </si>
  <si>
    <t>the management of threatened species. PNAS 119(1):e2105076119, figure 2.</t>
  </si>
  <si>
    <t>Both panels are redrawn there from Crow &amp; Kimura (1970), reference 11 in that paper.</t>
  </si>
  <si>
    <t>Panel A - the equation</t>
  </si>
  <si>
    <t>H(t) = H0 x (1 - 1/(2Ne))^t</t>
  </si>
  <si>
    <t>Each generation, a fraction 1/(2Ne) of the heterozygosity present is lost to drift.</t>
  </si>
  <si>
    <t>The paper plots Ne = 2, 10, 50, 100, 1000 over 100 generations. This sheet adds Ne = 500.</t>
  </si>
  <si>
    <t>Panel B - the equation</t>
  </si>
  <si>
    <t>P(retained) = 1 - (1 - q')^(2Ne)</t>
  </si>
  <si>
    <t>A bottleneck of Ne individuals passes on 2Ne gene copies. The rare allele is lost only if</t>
  </si>
  <si>
    <t>every one of those copies is the common allele, which has probability (1 - q')^(2Ne).</t>
  </si>
  <si>
    <t>What adding Ne = 500 shows - and what it does not</t>
  </si>
  <si>
    <t>Over 100 generations, Ne = 500 retains 90.5% of its heterozygosity and Ne = 1000 retains</t>
  </si>
  <si>
    <t>95.1%. On the paper's axes those two curves nearly overlap, both close to flat.</t>
  </si>
  <si>
    <t>Be careful with the wording. 1/(2Ne) is smooth and monotone in Ne, so this equation has no</t>
  </si>
  <si>
    <t>tipping point anywhere, and none at 500. The figure does not show why 500 was chosen.</t>
  </si>
  <si>
    <t>What it does show is the shape of the trade-off the threshold is placed on: loss is</t>
  </si>
  <si>
    <t>catastrophic at Ne = 10, serious at Ne = 50, slow at Ne = 500, slower at Ne = 1000.</t>
  </si>
  <si>
    <t>The 500 itself comes from a different argument - the balance between variation lost to</t>
  </si>
  <si>
    <t>drift and variation gained by mutation for quantitative traits (Franklin 1980), which is</t>
  </si>
  <si>
    <t>not the equation plotted here.</t>
  </si>
  <si>
    <t>If you want the curves to separate visibly, extend the x axis. Rows run to generation 200</t>
  </si>
  <si>
    <t>in this sheet. At generation 1000, Ne = 500 is down to 37% and Ne = 1000 to 61%.</t>
  </si>
  <si>
    <t>Yellow cells are inputs. Change an Ne, a q', or H0 and every curve recalculates.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</si>
</sst>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6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  <xf numFmtId="2" fontId="4" fillId="2" borderId="0" xfId="0" applyNumberFormat="1" applyFont="1" applyFill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B68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'Panel A - drift'!$A$8:$A$208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'Panel A - drift'!$B$8:$B$208</c:f>
              <c:numCache>
                <c:formatCode>0.0000</c:formatCode>
                <c:ptCount val="201"/>
                <c:pt idx="0">
                  <c:v>1</c:v>
                </c:pt>
                <c:pt idx="1">
                  <c:v>0.75</c:v>
                </c:pt>
                <c:pt idx="2">
                  <c:v>0.5625</c:v>
                </c:pt>
                <c:pt idx="3">
                  <c:v>0.421875</c:v>
                </c:pt>
                <c:pt idx="4">
                  <c:v>0.31640625</c:v>
                </c:pt>
                <c:pt idx="5">
                  <c:v>0.2373046875</c:v>
                </c:pt>
                <c:pt idx="6">
                  <c:v>0.177978515625</c:v>
                </c:pt>
                <c:pt idx="7">
                  <c:v>0.13348388671875</c:v>
                </c:pt>
                <c:pt idx="8">
                  <c:v>0.1001129150390625</c:v>
                </c:pt>
                <c:pt idx="9">
                  <c:v>7.5084686279296875E-2</c:v>
                </c:pt>
                <c:pt idx="10">
                  <c:v>5.6313514709472656E-2</c:v>
                </c:pt>
                <c:pt idx="11">
                  <c:v>4.2235136032104492E-2</c:v>
                </c:pt>
                <c:pt idx="12">
                  <c:v>3.1676352024078369E-2</c:v>
                </c:pt>
                <c:pt idx="13">
                  <c:v>2.3757264018058777E-2</c:v>
                </c:pt>
                <c:pt idx="14">
                  <c:v>1.7817948013544083E-2</c:v>
                </c:pt>
                <c:pt idx="15">
                  <c:v>1.3363461010158062E-2</c:v>
                </c:pt>
                <c:pt idx="16">
                  <c:v>1.0022595757618546E-2</c:v>
                </c:pt>
                <c:pt idx="17">
                  <c:v>7.5169468182139099E-3</c:v>
                </c:pt>
                <c:pt idx="18">
                  <c:v>5.6377101136604324E-3</c:v>
                </c:pt>
                <c:pt idx="19">
                  <c:v>4.2282825852453243E-3</c:v>
                </c:pt>
                <c:pt idx="20">
                  <c:v>3.1712119389339932E-3</c:v>
                </c:pt>
                <c:pt idx="21">
                  <c:v>2.3784089542004949E-3</c:v>
                </c:pt>
                <c:pt idx="22">
                  <c:v>1.7838067156503712E-3</c:v>
                </c:pt>
                <c:pt idx="23">
                  <c:v>1.3378550367377784E-3</c:v>
                </c:pt>
                <c:pt idx="24">
                  <c:v>1.0033912775533338E-3</c:v>
                </c:pt>
                <c:pt idx="25">
                  <c:v>7.5254345816500035E-4</c:v>
                </c:pt>
                <c:pt idx="26">
                  <c:v>5.6440759362375026E-4</c:v>
                </c:pt>
                <c:pt idx="27">
                  <c:v>4.2330569521781269E-4</c:v>
                </c:pt>
                <c:pt idx="28">
                  <c:v>3.1747927141335952E-4</c:v>
                </c:pt>
                <c:pt idx="29">
                  <c:v>2.3810945356001964E-4</c:v>
                </c:pt>
                <c:pt idx="30">
                  <c:v>1.7858209017001473E-4</c:v>
                </c:pt>
                <c:pt idx="31">
                  <c:v>1.3393656762751105E-4</c:v>
                </c:pt>
                <c:pt idx="32">
                  <c:v>1.0045242572063329E-4</c:v>
                </c:pt>
                <c:pt idx="33">
                  <c:v>7.5339319290474964E-5</c:v>
                </c:pt>
                <c:pt idx="34">
                  <c:v>5.650448946785622E-5</c:v>
                </c:pt>
                <c:pt idx="35">
                  <c:v>4.2378367100892165E-5</c:v>
                </c:pt>
                <c:pt idx="36">
                  <c:v>3.1783775325669129E-5</c:v>
                </c:pt>
                <c:pt idx="37">
                  <c:v>2.3837831494251845E-5</c:v>
                </c:pt>
                <c:pt idx="38">
                  <c:v>1.7878373620688882E-5</c:v>
                </c:pt>
                <c:pt idx="39">
                  <c:v>1.3408780215516662E-5</c:v>
                </c:pt>
                <c:pt idx="40">
                  <c:v>1.0056585161637497E-5</c:v>
                </c:pt>
                <c:pt idx="41">
                  <c:v>7.542438871228123E-6</c:v>
                </c:pt>
                <c:pt idx="42">
                  <c:v>5.6568291534210922E-6</c:v>
                </c:pt>
                <c:pt idx="43">
                  <c:v>4.2426218650658185E-6</c:v>
                </c:pt>
                <c:pt idx="44">
                  <c:v>3.1819663987993641E-6</c:v>
                </c:pt>
                <c:pt idx="45">
                  <c:v>2.3864747990995231E-6</c:v>
                </c:pt>
                <c:pt idx="46">
                  <c:v>1.7898560993246424E-6</c:v>
                </c:pt>
                <c:pt idx="47">
                  <c:v>1.3423920744934817E-6</c:v>
                </c:pt>
                <c:pt idx="48">
                  <c:v>1.0067940558701114E-6</c:v>
                </c:pt>
                <c:pt idx="49">
                  <c:v>7.5509554190258349E-7</c:v>
                </c:pt>
                <c:pt idx="50">
                  <c:v>5.6632165642693762E-7</c:v>
                </c:pt>
                <c:pt idx="51">
                  <c:v>4.2474124232020321E-7</c:v>
                </c:pt>
                <c:pt idx="52">
                  <c:v>3.185559317401524E-7</c:v>
                </c:pt>
                <c:pt idx="53">
                  <c:v>2.3891694880511431E-7</c:v>
                </c:pt>
                <c:pt idx="54">
                  <c:v>1.7918771160383575E-7</c:v>
                </c:pt>
                <c:pt idx="55">
                  <c:v>1.3439078370287679E-7</c:v>
                </c:pt>
                <c:pt idx="56">
                  <c:v>1.0079308777715761E-7</c:v>
                </c:pt>
                <c:pt idx="57">
                  <c:v>7.5594815832868201E-8</c:v>
                </c:pt>
                <c:pt idx="58">
                  <c:v>5.6696111874651151E-8</c:v>
                </c:pt>
                <c:pt idx="59">
                  <c:v>4.2522083905988365E-8</c:v>
                </c:pt>
                <c:pt idx="60">
                  <c:v>3.1891562929491272E-8</c:v>
                </c:pt>
                <c:pt idx="61">
                  <c:v>2.3918672197118452E-8</c:v>
                </c:pt>
                <c:pt idx="62">
                  <c:v>1.7939004147838842E-8</c:v>
                </c:pt>
                <c:pt idx="63">
                  <c:v>1.345425311087913E-8</c:v>
                </c:pt>
                <c:pt idx="64">
                  <c:v>1.0090689833159348E-8</c:v>
                </c:pt>
                <c:pt idx="65">
                  <c:v>7.5680173748695111E-9</c:v>
                </c:pt>
                <c:pt idx="66">
                  <c:v>5.6760130311521329E-9</c:v>
                </c:pt>
                <c:pt idx="67">
                  <c:v>4.2570097733640997E-9</c:v>
                </c:pt>
                <c:pt idx="68">
                  <c:v>3.192757330023075E-9</c:v>
                </c:pt>
                <c:pt idx="69">
                  <c:v>2.394567997517306E-9</c:v>
                </c:pt>
                <c:pt idx="70">
                  <c:v>1.7959259981379796E-9</c:v>
                </c:pt>
                <c:pt idx="71">
                  <c:v>1.3469444986034847E-9</c:v>
                </c:pt>
                <c:pt idx="72">
                  <c:v>1.0102083739526134E-9</c:v>
                </c:pt>
                <c:pt idx="73">
                  <c:v>7.5765628046446018E-10</c:v>
                </c:pt>
                <c:pt idx="74">
                  <c:v>5.6824221034834511E-10</c:v>
                </c:pt>
                <c:pt idx="75">
                  <c:v>4.261816577612588E-10</c:v>
                </c:pt>
                <c:pt idx="76">
                  <c:v>3.1963624332094414E-10</c:v>
                </c:pt>
                <c:pt idx="77">
                  <c:v>2.3972718249070809E-10</c:v>
                </c:pt>
                <c:pt idx="78">
                  <c:v>1.7979538686803106E-10</c:v>
                </c:pt>
                <c:pt idx="79">
                  <c:v>1.348465401510233E-10</c:v>
                </c:pt>
                <c:pt idx="80">
                  <c:v>1.0113490511326748E-10</c:v>
                </c:pt>
                <c:pt idx="81">
                  <c:v>7.5851178834950601E-11</c:v>
                </c:pt>
                <c:pt idx="82">
                  <c:v>5.6888384126212957E-11</c:v>
                </c:pt>
                <c:pt idx="83">
                  <c:v>4.2666288094659715E-11</c:v>
                </c:pt>
                <c:pt idx="84">
                  <c:v>3.1999716070994789E-11</c:v>
                </c:pt>
                <c:pt idx="85">
                  <c:v>2.3999787053246092E-11</c:v>
                </c:pt>
                <c:pt idx="86">
                  <c:v>1.7999840289934567E-11</c:v>
                </c:pt>
                <c:pt idx="87">
                  <c:v>1.3499880217450927E-11</c:v>
                </c:pt>
                <c:pt idx="88">
                  <c:v>1.0124910163088195E-11</c:v>
                </c:pt>
                <c:pt idx="89">
                  <c:v>7.5936826223161466E-12</c:v>
                </c:pt>
                <c:pt idx="90">
                  <c:v>5.6952619667371091E-12</c:v>
                </c:pt>
                <c:pt idx="91">
                  <c:v>4.271446475052832E-12</c:v>
                </c:pt>
                <c:pt idx="92">
                  <c:v>3.203584856289624E-12</c:v>
                </c:pt>
                <c:pt idx="93">
                  <c:v>2.4026886422172181E-12</c:v>
                </c:pt>
                <c:pt idx="94">
                  <c:v>1.8020164816629136E-12</c:v>
                </c:pt>
                <c:pt idx="95">
                  <c:v>1.3515123612471852E-12</c:v>
                </c:pt>
                <c:pt idx="96">
                  <c:v>1.0136342709353888E-12</c:v>
                </c:pt>
                <c:pt idx="97">
                  <c:v>7.602257032015416E-13</c:v>
                </c:pt>
                <c:pt idx="98">
                  <c:v>5.7016927740115615E-13</c:v>
                </c:pt>
                <c:pt idx="99">
                  <c:v>4.2762695805086714E-13</c:v>
                </c:pt>
                <c:pt idx="100">
                  <c:v>3.2072021853815043E-13</c:v>
                </c:pt>
                <c:pt idx="101">
                  <c:v>2.4054016390361281E-13</c:v>
                </c:pt>
                <c:pt idx="102">
                  <c:v>1.8040512292770958E-13</c:v>
                </c:pt>
                <c:pt idx="103">
                  <c:v>1.3530384219578219E-13</c:v>
                </c:pt>
                <c:pt idx="104">
                  <c:v>1.0147788164683664E-13</c:v>
                </c:pt>
                <c:pt idx="105">
                  <c:v>7.6108411235127483E-14</c:v>
                </c:pt>
                <c:pt idx="106">
                  <c:v>5.7081308426345619E-14</c:v>
                </c:pt>
                <c:pt idx="107">
                  <c:v>4.2810981319759204E-14</c:v>
                </c:pt>
                <c:pt idx="108">
                  <c:v>3.2108235989819406E-14</c:v>
                </c:pt>
                <c:pt idx="109">
                  <c:v>2.4081176992364555E-14</c:v>
                </c:pt>
                <c:pt idx="110">
                  <c:v>1.8060882744273417E-14</c:v>
                </c:pt>
                <c:pt idx="111">
                  <c:v>1.3545662058205062E-14</c:v>
                </c:pt>
                <c:pt idx="112">
                  <c:v>1.0159246543653796E-14</c:v>
                </c:pt>
                <c:pt idx="113">
                  <c:v>7.6194349077403481E-15</c:v>
                </c:pt>
                <c:pt idx="114">
                  <c:v>5.7145761808052603E-15</c:v>
                </c:pt>
                <c:pt idx="115">
                  <c:v>4.285932135603945E-15</c:v>
                </c:pt>
                <c:pt idx="116">
                  <c:v>3.2144491017029588E-15</c:v>
                </c:pt>
                <c:pt idx="117">
                  <c:v>2.4108368262772192E-15</c:v>
                </c:pt>
                <c:pt idx="118">
                  <c:v>1.8081276197079145E-15</c:v>
                </c:pt>
                <c:pt idx="119">
                  <c:v>1.3560957147809358E-15</c:v>
                </c:pt>
                <c:pt idx="120">
                  <c:v>1.017071786085702E-15</c:v>
                </c:pt>
                <c:pt idx="121">
                  <c:v>7.6280383956427642E-16</c:v>
                </c:pt>
                <c:pt idx="122">
                  <c:v>5.7210287967320731E-16</c:v>
                </c:pt>
                <c:pt idx="123">
                  <c:v>4.2907715975490553E-16</c:v>
                </c:pt>
                <c:pt idx="124">
                  <c:v>3.2180786981617912E-16</c:v>
                </c:pt>
                <c:pt idx="125">
                  <c:v>2.4135590236213432E-16</c:v>
                </c:pt>
                <c:pt idx="126">
                  <c:v>1.8101692677160076E-16</c:v>
                </c:pt>
                <c:pt idx="127">
                  <c:v>1.3576269507870055E-16</c:v>
                </c:pt>
                <c:pt idx="128">
                  <c:v>1.0182202130902542E-16</c:v>
                </c:pt>
                <c:pt idx="129">
                  <c:v>7.636651598176907E-17</c:v>
                </c:pt>
                <c:pt idx="130">
                  <c:v>5.7274886986326799E-17</c:v>
                </c:pt>
                <c:pt idx="131">
                  <c:v>4.2956165239745102E-17</c:v>
                </c:pt>
                <c:pt idx="132">
                  <c:v>3.2217123929808822E-17</c:v>
                </c:pt>
                <c:pt idx="133">
                  <c:v>2.416284294735662E-17</c:v>
                </c:pt>
                <c:pt idx="134">
                  <c:v>1.8122132210517464E-17</c:v>
                </c:pt>
                <c:pt idx="135">
                  <c:v>1.3591599157888099E-17</c:v>
                </c:pt>
                <c:pt idx="136">
                  <c:v>1.0193699368416073E-17</c:v>
                </c:pt>
                <c:pt idx="137">
                  <c:v>7.6452745263120547E-18</c:v>
                </c:pt>
                <c:pt idx="138">
                  <c:v>5.7339558947340414E-18</c:v>
                </c:pt>
                <c:pt idx="139">
                  <c:v>4.3004669210505313E-18</c:v>
                </c:pt>
                <c:pt idx="140">
                  <c:v>3.2253501907878984E-18</c:v>
                </c:pt>
                <c:pt idx="141">
                  <c:v>2.4190126430909238E-18</c:v>
                </c:pt>
                <c:pt idx="142">
                  <c:v>1.8142594823181926E-18</c:v>
                </c:pt>
                <c:pt idx="143">
                  <c:v>1.3606946117386445E-18</c:v>
                </c:pt>
                <c:pt idx="144">
                  <c:v>1.0205209588039834E-18</c:v>
                </c:pt>
                <c:pt idx="145">
                  <c:v>7.6539071910298756E-19</c:v>
                </c:pt>
                <c:pt idx="146">
                  <c:v>5.7404303932724072E-19</c:v>
                </c:pt>
                <c:pt idx="147">
                  <c:v>4.3053227949543052E-19</c:v>
                </c:pt>
                <c:pt idx="148">
                  <c:v>3.228992096215729E-19</c:v>
                </c:pt>
                <c:pt idx="149">
                  <c:v>2.4217440721617966E-19</c:v>
                </c:pt>
                <c:pt idx="150">
                  <c:v>1.8163080541213476E-19</c:v>
                </c:pt>
                <c:pt idx="151">
                  <c:v>1.3622310405910106E-19</c:v>
                </c:pt>
                <c:pt idx="152">
                  <c:v>1.0216732804432579E-19</c:v>
                </c:pt>
                <c:pt idx="153">
                  <c:v>7.6625496033244343E-20</c:v>
                </c:pt>
                <c:pt idx="154">
                  <c:v>5.7469122024933258E-20</c:v>
                </c:pt>
                <c:pt idx="155">
                  <c:v>4.3101841518699943E-20</c:v>
                </c:pt>
                <c:pt idx="156">
                  <c:v>3.2326381139024956E-20</c:v>
                </c:pt>
                <c:pt idx="157">
                  <c:v>2.4244785854268718E-20</c:v>
                </c:pt>
                <c:pt idx="158">
                  <c:v>1.818358939070154E-20</c:v>
                </c:pt>
                <c:pt idx="159">
                  <c:v>1.3637692043026153E-20</c:v>
                </c:pt>
                <c:pt idx="160">
                  <c:v>1.0228269032269615E-20</c:v>
                </c:pt>
                <c:pt idx="161">
                  <c:v>7.6712017742022112E-21</c:v>
                </c:pt>
                <c:pt idx="162">
                  <c:v>5.7534013306516584E-21</c:v>
                </c:pt>
                <c:pt idx="163">
                  <c:v>4.3150509979887438E-21</c:v>
                </c:pt>
                <c:pt idx="164">
                  <c:v>3.2362882484915584E-21</c:v>
                </c:pt>
                <c:pt idx="165">
                  <c:v>2.4272161863686688E-21</c:v>
                </c:pt>
                <c:pt idx="166">
                  <c:v>1.8204121397765013E-21</c:v>
                </c:pt>
                <c:pt idx="167">
                  <c:v>1.365309104832376E-21</c:v>
                </c:pt>
                <c:pt idx="168">
                  <c:v>1.0239818286242821E-21</c:v>
                </c:pt>
                <c:pt idx="169">
                  <c:v>7.6798637146821156E-22</c:v>
                </c:pt>
                <c:pt idx="170">
                  <c:v>5.7598977860115872E-22</c:v>
                </c:pt>
                <c:pt idx="171">
                  <c:v>4.3199233395086897E-22</c:v>
                </c:pt>
                <c:pt idx="172">
                  <c:v>3.2399425046315175E-22</c:v>
                </c:pt>
                <c:pt idx="173">
                  <c:v>2.4299568784736381E-22</c:v>
                </c:pt>
                <c:pt idx="174">
                  <c:v>1.8224676588552287E-22</c:v>
                </c:pt>
                <c:pt idx="175">
                  <c:v>1.3668507441414215E-22</c:v>
                </c:pt>
                <c:pt idx="176">
                  <c:v>1.0251380581060661E-22</c:v>
                </c:pt>
                <c:pt idx="177">
                  <c:v>7.6885354357954958E-23</c:v>
                </c:pt>
                <c:pt idx="178">
                  <c:v>5.7664015768466221E-23</c:v>
                </c:pt>
                <c:pt idx="179">
                  <c:v>4.3248011826349663E-23</c:v>
                </c:pt>
                <c:pt idx="180">
                  <c:v>3.2436008869762243E-23</c:v>
                </c:pt>
                <c:pt idx="181">
                  <c:v>2.4327006652321686E-23</c:v>
                </c:pt>
                <c:pt idx="182">
                  <c:v>1.8245254989241264E-23</c:v>
                </c:pt>
                <c:pt idx="183">
                  <c:v>1.3683941241930947E-23</c:v>
                </c:pt>
                <c:pt idx="184">
                  <c:v>1.0262955931448211E-23</c:v>
                </c:pt>
                <c:pt idx="185">
                  <c:v>7.6972169485861584E-24</c:v>
                </c:pt>
                <c:pt idx="186">
                  <c:v>5.7729127114396185E-24</c:v>
                </c:pt>
                <c:pt idx="187">
                  <c:v>4.3296845335797138E-24</c:v>
                </c:pt>
                <c:pt idx="188">
                  <c:v>3.2472634001847854E-24</c:v>
                </c:pt>
                <c:pt idx="189">
                  <c:v>2.4354475501385889E-24</c:v>
                </c:pt>
                <c:pt idx="190">
                  <c:v>1.8265856626039421E-24</c:v>
                </c:pt>
                <c:pt idx="191">
                  <c:v>1.3699392469529563E-24</c:v>
                </c:pt>
                <c:pt idx="192">
                  <c:v>1.0274544352147172E-24</c:v>
                </c:pt>
                <c:pt idx="193">
                  <c:v>7.70590826411038E-25</c:v>
                </c:pt>
                <c:pt idx="194">
                  <c:v>5.7794311980827843E-25</c:v>
                </c:pt>
                <c:pt idx="195">
                  <c:v>4.3345733985620882E-25</c:v>
                </c:pt>
                <c:pt idx="196">
                  <c:v>3.2509300489215666E-25</c:v>
                </c:pt>
                <c:pt idx="197">
                  <c:v>2.4381975366911749E-25</c:v>
                </c:pt>
                <c:pt idx="198">
                  <c:v>1.8286481525183811E-25</c:v>
                </c:pt>
                <c:pt idx="199">
                  <c:v>1.3714861143887859E-25</c:v>
                </c:pt>
                <c:pt idx="200">
                  <c:v>1.0286145857915893E-25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A4-4CF8-8DCE-5E60B3C23A31}"/>
            </c:ext>
          </c:extLst>
        </c:ser>
        <c:ser>
          <c:idx val="1"/>
          <c:order val="1"/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'Panel A - drift'!$A$8:$A$208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'Panel A - drift'!$C$8:$C$208</c:f>
              <c:numCache>
                <c:formatCode>0.0000</c:formatCode>
                <c:ptCount val="201"/>
                <c:pt idx="0">
                  <c:v>1</c:v>
                </c:pt>
                <c:pt idx="1">
                  <c:v>0.95</c:v>
                </c:pt>
                <c:pt idx="2">
                  <c:v>0.90249999999999997</c:v>
                </c:pt>
                <c:pt idx="3">
                  <c:v>0.85737499999999989</c:v>
                </c:pt>
                <c:pt idx="4">
                  <c:v>0.81450624999999999</c:v>
                </c:pt>
                <c:pt idx="5">
                  <c:v>0.77378093749999999</c:v>
                </c:pt>
                <c:pt idx="6">
                  <c:v>0.73509189062499991</c:v>
                </c:pt>
                <c:pt idx="7">
                  <c:v>0.69833729609374995</c:v>
                </c:pt>
                <c:pt idx="8">
                  <c:v>0.66342043128906247</c:v>
                </c:pt>
                <c:pt idx="9">
                  <c:v>0.6302494097246093</c:v>
                </c:pt>
                <c:pt idx="10">
                  <c:v>0.5987369392383789</c:v>
                </c:pt>
                <c:pt idx="11">
                  <c:v>0.56880009227645989</c:v>
                </c:pt>
                <c:pt idx="12">
                  <c:v>0.54036008766263688</c:v>
                </c:pt>
                <c:pt idx="13">
                  <c:v>0.51334208327950503</c:v>
                </c:pt>
                <c:pt idx="14">
                  <c:v>0.48767497911552976</c:v>
                </c:pt>
                <c:pt idx="15">
                  <c:v>0.46329123015975332</c:v>
                </c:pt>
                <c:pt idx="16">
                  <c:v>0.44012666865176564</c:v>
                </c:pt>
                <c:pt idx="17">
                  <c:v>0.41812033521917735</c:v>
                </c:pt>
                <c:pt idx="18">
                  <c:v>0.39721431845821847</c:v>
                </c:pt>
                <c:pt idx="19">
                  <c:v>0.37735360253530753</c:v>
                </c:pt>
                <c:pt idx="20">
                  <c:v>0.35848592240854216</c:v>
                </c:pt>
                <c:pt idx="21">
                  <c:v>0.34056162628811509</c:v>
                </c:pt>
                <c:pt idx="22">
                  <c:v>0.32353354497370929</c:v>
                </c:pt>
                <c:pt idx="23">
                  <c:v>0.30735686772502385</c:v>
                </c:pt>
                <c:pt idx="24">
                  <c:v>0.29198902433877266</c:v>
                </c:pt>
                <c:pt idx="25">
                  <c:v>0.27738957312183399</c:v>
                </c:pt>
                <c:pt idx="26">
                  <c:v>0.26352009446574232</c:v>
                </c:pt>
                <c:pt idx="27">
                  <c:v>0.2503440897424552</c:v>
                </c:pt>
                <c:pt idx="28">
                  <c:v>0.23782688525533241</c:v>
                </c:pt>
                <c:pt idx="29">
                  <c:v>0.2259355409925658</c:v>
                </c:pt>
                <c:pt idx="30">
                  <c:v>0.21463876394293749</c:v>
                </c:pt>
                <c:pt idx="31">
                  <c:v>0.20390682574579064</c:v>
                </c:pt>
                <c:pt idx="32">
                  <c:v>0.19371148445850112</c:v>
                </c:pt>
                <c:pt idx="33">
                  <c:v>0.18402591023557605</c:v>
                </c:pt>
                <c:pt idx="34">
                  <c:v>0.17482461472379726</c:v>
                </c:pt>
                <c:pt idx="35">
                  <c:v>0.16608338398760736</c:v>
                </c:pt>
                <c:pt idx="36">
                  <c:v>0.15777921478822701</c:v>
                </c:pt>
                <c:pt idx="37">
                  <c:v>0.14989025404881567</c:v>
                </c:pt>
                <c:pt idx="38">
                  <c:v>0.14239574134637487</c:v>
                </c:pt>
                <c:pt idx="39">
                  <c:v>0.13527595427905614</c:v>
                </c:pt>
                <c:pt idx="40">
                  <c:v>0.12851215656510334</c:v>
                </c:pt>
                <c:pt idx="41">
                  <c:v>0.12208654873684816</c:v>
                </c:pt>
                <c:pt idx="42">
                  <c:v>0.11598222130000577</c:v>
                </c:pt>
                <c:pt idx="43">
                  <c:v>0.11018311023500546</c:v>
                </c:pt>
                <c:pt idx="44">
                  <c:v>0.10467395472325518</c:v>
                </c:pt>
                <c:pt idx="45">
                  <c:v>9.9440256987092426E-2</c:v>
                </c:pt>
                <c:pt idx="46">
                  <c:v>9.44682441377378E-2</c:v>
                </c:pt>
                <c:pt idx="47">
                  <c:v>8.9744831930850921E-2</c:v>
                </c:pt>
                <c:pt idx="48">
                  <c:v>8.5257590334308367E-2</c:v>
                </c:pt>
                <c:pt idx="49">
                  <c:v>8.0994710817592949E-2</c:v>
                </c:pt>
                <c:pt idx="50">
                  <c:v>7.6944975276713304E-2</c:v>
                </c:pt>
                <c:pt idx="51">
                  <c:v>7.3097726512877631E-2</c:v>
                </c:pt>
                <c:pt idx="52">
                  <c:v>6.9442840187233748E-2</c:v>
                </c:pt>
                <c:pt idx="53">
                  <c:v>6.5970698177872072E-2</c:v>
                </c:pt>
                <c:pt idx="54">
                  <c:v>6.2672163268978454E-2</c:v>
                </c:pt>
                <c:pt idx="55">
                  <c:v>5.9538555105529543E-2</c:v>
                </c:pt>
                <c:pt idx="56">
                  <c:v>5.6561627350253066E-2</c:v>
                </c:pt>
                <c:pt idx="57">
                  <c:v>5.3733545982740404E-2</c:v>
                </c:pt>
                <c:pt idx="58">
                  <c:v>5.1046868683603391E-2</c:v>
                </c:pt>
                <c:pt idx="59">
                  <c:v>4.8494525249423222E-2</c:v>
                </c:pt>
                <c:pt idx="60">
                  <c:v>4.606979898695205E-2</c:v>
                </c:pt>
                <c:pt idx="61">
                  <c:v>4.3766309037604451E-2</c:v>
                </c:pt>
                <c:pt idx="62">
                  <c:v>4.1577993585724227E-2</c:v>
                </c:pt>
                <c:pt idx="63">
                  <c:v>3.9499093906438021E-2</c:v>
                </c:pt>
                <c:pt idx="64">
                  <c:v>3.7524139211116116E-2</c:v>
                </c:pt>
                <c:pt idx="65">
                  <c:v>3.5647932250560309E-2</c:v>
                </c:pt>
                <c:pt idx="66">
                  <c:v>3.3865535638032296E-2</c:v>
                </c:pt>
                <c:pt idx="67">
                  <c:v>3.2172258856130675E-2</c:v>
                </c:pt>
                <c:pt idx="68">
                  <c:v>3.0563645913324146E-2</c:v>
                </c:pt>
                <c:pt idx="69">
                  <c:v>2.903546361765794E-2</c:v>
                </c:pt>
                <c:pt idx="70">
                  <c:v>2.7583690436775037E-2</c:v>
                </c:pt>
                <c:pt idx="71">
                  <c:v>2.6204505914936286E-2</c:v>
                </c:pt>
                <c:pt idx="72">
                  <c:v>2.4894280619189475E-2</c:v>
                </c:pt>
                <c:pt idx="73">
                  <c:v>2.364956658823E-2</c:v>
                </c:pt>
                <c:pt idx="74">
                  <c:v>2.2467088258818501E-2</c:v>
                </c:pt>
                <c:pt idx="75">
                  <c:v>2.1343733845877573E-2</c:v>
                </c:pt>
                <c:pt idx="76">
                  <c:v>2.0276547153583693E-2</c:v>
                </c:pt>
                <c:pt idx="77">
                  <c:v>1.926271979590451E-2</c:v>
                </c:pt>
                <c:pt idx="78">
                  <c:v>1.8299583806109285E-2</c:v>
                </c:pt>
                <c:pt idx="79">
                  <c:v>1.7384604615803819E-2</c:v>
                </c:pt>
                <c:pt idx="80">
                  <c:v>1.6515374385013628E-2</c:v>
                </c:pt>
                <c:pt idx="81">
                  <c:v>1.5689605665762947E-2</c:v>
                </c:pt>
                <c:pt idx="82">
                  <c:v>1.49051253824748E-2</c:v>
                </c:pt>
                <c:pt idx="83">
                  <c:v>1.415986911335106E-2</c:v>
                </c:pt>
                <c:pt idx="84">
                  <c:v>1.3451875657683507E-2</c:v>
                </c:pt>
                <c:pt idx="85">
                  <c:v>1.2779281874799332E-2</c:v>
                </c:pt>
                <c:pt idx="86">
                  <c:v>1.2140317781059364E-2</c:v>
                </c:pt>
                <c:pt idx="87">
                  <c:v>1.1533301892006397E-2</c:v>
                </c:pt>
                <c:pt idx="88">
                  <c:v>1.0956636797406077E-2</c:v>
                </c:pt>
                <c:pt idx="89">
                  <c:v>1.0408804957535772E-2</c:v>
                </c:pt>
                <c:pt idx="90">
                  <c:v>9.8883647096589845E-3</c:v>
                </c:pt>
                <c:pt idx="91">
                  <c:v>9.3939464741760355E-3</c:v>
                </c:pt>
                <c:pt idx="92">
                  <c:v>8.9242491504672328E-3</c:v>
                </c:pt>
                <c:pt idx="93">
                  <c:v>8.4780366929438702E-3</c:v>
                </c:pt>
                <c:pt idx="94">
                  <c:v>8.054134858296676E-3</c:v>
                </c:pt>
                <c:pt idx="95">
                  <c:v>7.6514281153818439E-3</c:v>
                </c:pt>
                <c:pt idx="96">
                  <c:v>7.268856709612752E-3</c:v>
                </c:pt>
                <c:pt idx="97">
                  <c:v>6.9054138741321139E-3</c:v>
                </c:pt>
                <c:pt idx="98">
                  <c:v>6.5601431804255088E-3</c:v>
                </c:pt>
                <c:pt idx="99">
                  <c:v>6.2321360214042318E-3</c:v>
                </c:pt>
                <c:pt idx="100">
                  <c:v>5.9205292203340209E-3</c:v>
                </c:pt>
                <c:pt idx="101">
                  <c:v>5.6245027593173199E-3</c:v>
                </c:pt>
                <c:pt idx="102">
                  <c:v>5.3432776213514534E-3</c:v>
                </c:pt>
                <c:pt idx="103">
                  <c:v>5.0761137402838812E-3</c:v>
                </c:pt>
                <c:pt idx="104">
                  <c:v>4.8223080532696872E-3</c:v>
                </c:pt>
                <c:pt idx="105">
                  <c:v>4.5811926506062021E-3</c:v>
                </c:pt>
                <c:pt idx="106">
                  <c:v>4.3521330180758934E-3</c:v>
                </c:pt>
                <c:pt idx="107">
                  <c:v>4.1345263671720978E-3</c:v>
                </c:pt>
                <c:pt idx="108">
                  <c:v>3.9278000488134927E-3</c:v>
                </c:pt>
                <c:pt idx="109">
                  <c:v>3.731410046372818E-3</c:v>
                </c:pt>
                <c:pt idx="110">
                  <c:v>3.5448395440541773E-3</c:v>
                </c:pt>
                <c:pt idx="111">
                  <c:v>3.3675975668514685E-3</c:v>
                </c:pt>
                <c:pt idx="112">
                  <c:v>3.1992176885088947E-3</c:v>
                </c:pt>
                <c:pt idx="113">
                  <c:v>3.0392568040834502E-3</c:v>
                </c:pt>
                <c:pt idx="114">
                  <c:v>2.8872939638792776E-3</c:v>
                </c:pt>
                <c:pt idx="115">
                  <c:v>2.7429292656853134E-3</c:v>
                </c:pt>
                <c:pt idx="116">
                  <c:v>2.605782802401048E-3</c:v>
                </c:pt>
                <c:pt idx="117">
                  <c:v>2.4754936622809957E-3</c:v>
                </c:pt>
                <c:pt idx="118">
                  <c:v>2.3517189791669455E-3</c:v>
                </c:pt>
                <c:pt idx="119">
                  <c:v>2.2341330302085988E-3</c:v>
                </c:pt>
                <c:pt idx="120">
                  <c:v>2.1224263786981689E-3</c:v>
                </c:pt>
                <c:pt idx="121">
                  <c:v>2.0163050597632598E-3</c:v>
                </c:pt>
                <c:pt idx="122">
                  <c:v>1.9154898067750973E-3</c:v>
                </c:pt>
                <c:pt idx="123">
                  <c:v>1.8197153164363424E-3</c:v>
                </c:pt>
                <c:pt idx="124">
                  <c:v>1.7287295506145249E-3</c:v>
                </c:pt>
                <c:pt idx="125">
                  <c:v>1.6422930730837987E-3</c:v>
                </c:pt>
                <c:pt idx="126">
                  <c:v>1.5601784194296088E-3</c:v>
                </c:pt>
                <c:pt idx="127">
                  <c:v>1.4821694984581285E-3</c:v>
                </c:pt>
                <c:pt idx="128">
                  <c:v>1.4080610235352219E-3</c:v>
                </c:pt>
                <c:pt idx="129">
                  <c:v>1.3376579723584608E-3</c:v>
                </c:pt>
                <c:pt idx="130">
                  <c:v>1.2707750737405378E-3</c:v>
                </c:pt>
                <c:pt idx="131">
                  <c:v>1.2072363200535108E-3</c:v>
                </c:pt>
                <c:pt idx="132">
                  <c:v>1.1468745040508353E-3</c:v>
                </c:pt>
                <c:pt idx="133">
                  <c:v>1.0895307788482936E-3</c:v>
                </c:pt>
                <c:pt idx="134">
                  <c:v>1.0350542399058787E-3</c:v>
                </c:pt>
                <c:pt idx="135">
                  <c:v>9.8330152791058483E-4</c:v>
                </c:pt>
                <c:pt idx="136">
                  <c:v>9.3413645151505561E-4</c:v>
                </c:pt>
                <c:pt idx="137">
                  <c:v>8.8742962893930278E-4</c:v>
                </c:pt>
                <c:pt idx="138">
                  <c:v>8.4305814749233772E-4</c:v>
                </c:pt>
                <c:pt idx="139">
                  <c:v>8.0090524011772082E-4</c:v>
                </c:pt>
                <c:pt idx="140">
                  <c:v>7.608599781118347E-4</c:v>
                </c:pt>
                <c:pt idx="141">
                  <c:v>7.2281697920624293E-4</c:v>
                </c:pt>
                <c:pt idx="142">
                  <c:v>6.8667613024593079E-4</c:v>
                </c:pt>
                <c:pt idx="143">
                  <c:v>6.5234232373363428E-4</c:v>
                </c:pt>
                <c:pt idx="144">
                  <c:v>6.1972520754695261E-4</c:v>
                </c:pt>
                <c:pt idx="145">
                  <c:v>5.887389471696049E-4</c:v>
                </c:pt>
                <c:pt idx="146">
                  <c:v>5.5930199981112474E-4</c:v>
                </c:pt>
                <c:pt idx="147">
                  <c:v>5.3133689982056841E-4</c:v>
                </c:pt>
                <c:pt idx="148">
                  <c:v>5.0477005482953998E-4</c:v>
                </c:pt>
                <c:pt idx="149">
                  <c:v>4.7953155208806309E-4</c:v>
                </c:pt>
                <c:pt idx="150">
                  <c:v>4.5555497448365983E-4</c:v>
                </c:pt>
                <c:pt idx="151">
                  <c:v>4.3277722575947689E-4</c:v>
                </c:pt>
                <c:pt idx="152">
                  <c:v>4.1113836447150307E-4</c:v>
                </c:pt>
                <c:pt idx="153">
                  <c:v>3.9058144624792786E-4</c:v>
                </c:pt>
                <c:pt idx="154">
                  <c:v>3.7105237393553149E-4</c:v>
                </c:pt>
                <c:pt idx="155">
                  <c:v>3.5249975523875493E-4</c:v>
                </c:pt>
                <c:pt idx="156">
                  <c:v>3.348747674768171E-4</c:v>
                </c:pt>
                <c:pt idx="157">
                  <c:v>3.181310291029763E-4</c:v>
                </c:pt>
                <c:pt idx="158">
                  <c:v>3.0222447764782746E-4</c:v>
                </c:pt>
                <c:pt idx="159">
                  <c:v>2.871132537654361E-4</c:v>
                </c:pt>
                <c:pt idx="160">
                  <c:v>2.7275759107716431E-4</c:v>
                </c:pt>
                <c:pt idx="161">
                  <c:v>2.5911971152330608E-4</c:v>
                </c:pt>
                <c:pt idx="162">
                  <c:v>2.4616372594714081E-4</c:v>
                </c:pt>
                <c:pt idx="163">
                  <c:v>2.338555396497837E-4</c:v>
                </c:pt>
                <c:pt idx="164">
                  <c:v>2.2216276266729456E-4</c:v>
                </c:pt>
                <c:pt idx="165">
                  <c:v>2.1105462453392982E-4</c:v>
                </c:pt>
                <c:pt idx="166">
                  <c:v>2.0050189330723332E-4</c:v>
                </c:pt>
                <c:pt idx="167">
                  <c:v>1.9047679864187168E-4</c:v>
                </c:pt>
                <c:pt idx="168">
                  <c:v>1.8095295870977811E-4</c:v>
                </c:pt>
                <c:pt idx="169">
                  <c:v>1.7190531077428917E-4</c:v>
                </c:pt>
                <c:pt idx="170">
                  <c:v>1.6331004523557473E-4</c:v>
                </c:pt>
                <c:pt idx="171">
                  <c:v>1.5514454297379596E-4</c:v>
                </c:pt>
                <c:pt idx="172">
                  <c:v>1.4738731582510616E-4</c:v>
                </c:pt>
                <c:pt idx="173">
                  <c:v>1.4001795003385086E-4</c:v>
                </c:pt>
                <c:pt idx="174">
                  <c:v>1.3301705253215831E-4</c:v>
                </c:pt>
                <c:pt idx="175">
                  <c:v>1.2636619990555041E-4</c:v>
                </c:pt>
                <c:pt idx="176">
                  <c:v>1.2004788991027288E-4</c:v>
                </c:pt>
                <c:pt idx="177">
                  <c:v>1.1404549541475923E-4</c:v>
                </c:pt>
                <c:pt idx="178">
                  <c:v>1.0834322064402127E-4</c:v>
                </c:pt>
                <c:pt idx="179">
                  <c:v>1.029260596118202E-4</c:v>
                </c:pt>
                <c:pt idx="180">
                  <c:v>9.7779756631229188E-5</c:v>
                </c:pt>
                <c:pt idx="181">
                  <c:v>9.2890768799667753E-5</c:v>
                </c:pt>
                <c:pt idx="182">
                  <c:v>8.8246230359684339E-5</c:v>
                </c:pt>
                <c:pt idx="183">
                  <c:v>8.3833918841700136E-5</c:v>
                </c:pt>
                <c:pt idx="184">
                  <c:v>7.9642222899615128E-5</c:v>
                </c:pt>
                <c:pt idx="185">
                  <c:v>7.5660111754634359E-5</c:v>
                </c:pt>
                <c:pt idx="186">
                  <c:v>7.1877106166902651E-5</c:v>
                </c:pt>
                <c:pt idx="187">
                  <c:v>6.8283250858557529E-5</c:v>
                </c:pt>
                <c:pt idx="188">
                  <c:v>6.4869088315629636E-5</c:v>
                </c:pt>
                <c:pt idx="189">
                  <c:v>6.1625633899848161E-5</c:v>
                </c:pt>
                <c:pt idx="190">
                  <c:v>5.8544352204855748E-5</c:v>
                </c:pt>
                <c:pt idx="191">
                  <c:v>5.5617134594612968E-5</c:v>
                </c:pt>
                <c:pt idx="192">
                  <c:v>5.2836277864882315E-5</c:v>
                </c:pt>
                <c:pt idx="193">
                  <c:v>5.0194463971638196E-5</c:v>
                </c:pt>
                <c:pt idx="194">
                  <c:v>4.7684740773056285E-5</c:v>
                </c:pt>
                <c:pt idx="195">
                  <c:v>4.5300503734403463E-5</c:v>
                </c:pt>
                <c:pt idx="196">
                  <c:v>4.3035478547683296E-5</c:v>
                </c:pt>
                <c:pt idx="197">
                  <c:v>4.0883704620299135E-5</c:v>
                </c:pt>
                <c:pt idx="198">
                  <c:v>3.8839519389284171E-5</c:v>
                </c:pt>
                <c:pt idx="199">
                  <c:v>3.6897543419819962E-5</c:v>
                </c:pt>
                <c:pt idx="200">
                  <c:v>3.505266624882897E-5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A4-4CF8-8DCE-5E60B3C23A31}"/>
            </c:ext>
          </c:extLst>
        </c:ser>
        <c:ser>
          <c:idx val="2"/>
          <c:order val="2"/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'Panel A - drift'!$A$8:$A$208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'Panel A - drift'!$D$8:$D$208</c:f>
              <c:numCache>
                <c:formatCode>0.0000</c:formatCode>
                <c:ptCount val="201"/>
                <c:pt idx="0">
                  <c:v>1</c:v>
                </c:pt>
                <c:pt idx="1">
                  <c:v>0.99</c:v>
                </c:pt>
                <c:pt idx="2">
                  <c:v>0.98009999999999997</c:v>
                </c:pt>
                <c:pt idx="3">
                  <c:v>0.97029899999999991</c:v>
                </c:pt>
                <c:pt idx="4">
                  <c:v>0.96059600999999994</c:v>
                </c:pt>
                <c:pt idx="5">
                  <c:v>0.95099004989999991</c:v>
                </c:pt>
                <c:pt idx="6">
                  <c:v>0.94148014940099989</c:v>
                </c:pt>
                <c:pt idx="7">
                  <c:v>0.93206534790698992</c:v>
                </c:pt>
                <c:pt idx="8">
                  <c:v>0.92274469442791995</c:v>
                </c:pt>
                <c:pt idx="9">
                  <c:v>0.91351724748364072</c:v>
                </c:pt>
                <c:pt idx="10">
                  <c:v>0.9043820750088043</c:v>
                </c:pt>
                <c:pt idx="11">
                  <c:v>0.89533825425871627</c:v>
                </c:pt>
                <c:pt idx="12">
                  <c:v>0.88638487171612912</c:v>
                </c:pt>
                <c:pt idx="13">
                  <c:v>0.87752102299896773</c:v>
                </c:pt>
                <c:pt idx="14">
                  <c:v>0.86874581276897811</c:v>
                </c:pt>
                <c:pt idx="15">
                  <c:v>0.86005835464128833</c:v>
                </c:pt>
                <c:pt idx="16">
                  <c:v>0.85145777109487542</c:v>
                </c:pt>
                <c:pt idx="17">
                  <c:v>0.84294319338392665</c:v>
                </c:pt>
                <c:pt idx="18">
                  <c:v>0.83451376145008738</c:v>
                </c:pt>
                <c:pt idx="19">
                  <c:v>0.82616862383558642</c:v>
                </c:pt>
                <c:pt idx="20">
                  <c:v>0.81790693759723065</c:v>
                </c:pt>
                <c:pt idx="21">
                  <c:v>0.80972786822125831</c:v>
                </c:pt>
                <c:pt idx="22">
                  <c:v>0.80163058953904565</c:v>
                </c:pt>
                <c:pt idx="23">
                  <c:v>0.79361428364365527</c:v>
                </c:pt>
                <c:pt idx="24">
                  <c:v>0.78567814080721865</c:v>
                </c:pt>
                <c:pt idx="25">
                  <c:v>0.77782135939914643</c:v>
                </c:pt>
                <c:pt idx="26">
                  <c:v>0.77004314580515498</c:v>
                </c:pt>
                <c:pt idx="27">
                  <c:v>0.76234271434710343</c:v>
                </c:pt>
                <c:pt idx="28">
                  <c:v>0.75471928720363235</c:v>
                </c:pt>
                <c:pt idx="29">
                  <c:v>0.74717209433159593</c:v>
                </c:pt>
                <c:pt idx="30">
                  <c:v>0.7397003733882801</c:v>
                </c:pt>
                <c:pt idx="31">
                  <c:v>0.73230336965439724</c:v>
                </c:pt>
                <c:pt idx="32">
                  <c:v>0.72498033595785327</c:v>
                </c:pt>
                <c:pt idx="33">
                  <c:v>0.71773053259827468</c:v>
                </c:pt>
                <c:pt idx="34">
                  <c:v>0.71055322727229198</c:v>
                </c:pt>
                <c:pt idx="35">
                  <c:v>0.70344769499956905</c:v>
                </c:pt>
                <c:pt idx="36">
                  <c:v>0.69641321804957335</c:v>
                </c:pt>
                <c:pt idx="37">
                  <c:v>0.6894490858690776</c:v>
                </c:pt>
                <c:pt idx="38">
                  <c:v>0.68255459501038684</c:v>
                </c:pt>
                <c:pt idx="39">
                  <c:v>0.67572904906028297</c:v>
                </c:pt>
                <c:pt idx="40">
                  <c:v>0.66897175856968005</c:v>
                </c:pt>
                <c:pt idx="41">
                  <c:v>0.66228204098398324</c:v>
                </c:pt>
                <c:pt idx="42">
                  <c:v>0.65565922057414339</c:v>
                </c:pt>
                <c:pt idx="43">
                  <c:v>0.64910262836840193</c:v>
                </c:pt>
                <c:pt idx="44">
                  <c:v>0.64261160208471801</c:v>
                </c:pt>
                <c:pt idx="45">
                  <c:v>0.63618548606387071</c:v>
                </c:pt>
                <c:pt idx="46">
                  <c:v>0.62982363120323204</c:v>
                </c:pt>
                <c:pt idx="47">
                  <c:v>0.62352539489119974</c:v>
                </c:pt>
                <c:pt idx="48">
                  <c:v>0.61729014094228774</c:v>
                </c:pt>
                <c:pt idx="49">
                  <c:v>0.61111723953286479</c:v>
                </c:pt>
                <c:pt idx="50">
                  <c:v>0.60500606713753613</c:v>
                </c:pt>
                <c:pt idx="51">
                  <c:v>0.59895600646616076</c:v>
                </c:pt>
                <c:pt idx="52">
                  <c:v>0.5929664464014992</c:v>
                </c:pt>
                <c:pt idx="53">
                  <c:v>0.58703678193748421</c:v>
                </c:pt>
                <c:pt idx="54">
                  <c:v>0.58116641411810932</c:v>
                </c:pt>
                <c:pt idx="55">
                  <c:v>0.57535474997692826</c:v>
                </c:pt>
                <c:pt idx="56">
                  <c:v>0.56960120247715895</c:v>
                </c:pt>
                <c:pt idx="57">
                  <c:v>0.56390519045238729</c:v>
                </c:pt>
                <c:pt idx="58">
                  <c:v>0.55826613854786344</c:v>
                </c:pt>
                <c:pt idx="59">
                  <c:v>0.55268347716238486</c:v>
                </c:pt>
                <c:pt idx="60">
                  <c:v>0.54715664239076089</c:v>
                </c:pt>
                <c:pt idx="61">
                  <c:v>0.54168507596685322</c:v>
                </c:pt>
                <c:pt idx="62">
                  <c:v>0.53626822520718487</c:v>
                </c:pt>
                <c:pt idx="63">
                  <c:v>0.53090554295511294</c:v>
                </c:pt>
                <c:pt idx="64">
                  <c:v>0.52559648752556176</c:v>
                </c:pt>
                <c:pt idx="65">
                  <c:v>0.52034052265030617</c:v>
                </c:pt>
                <c:pt idx="66">
                  <c:v>0.51513711742380308</c:v>
                </c:pt>
                <c:pt idx="67">
                  <c:v>0.50998574624956505</c:v>
                </c:pt>
                <c:pt idx="68">
                  <c:v>0.50488588878706941</c:v>
                </c:pt>
                <c:pt idx="69">
                  <c:v>0.49983702989919865</c:v>
                </c:pt>
                <c:pt idx="70">
                  <c:v>0.49483865960020668</c:v>
                </c:pt>
                <c:pt idx="71">
                  <c:v>0.48989027300420462</c:v>
                </c:pt>
                <c:pt idx="72">
                  <c:v>0.4849913702741625</c:v>
                </c:pt>
                <c:pt idx="73">
                  <c:v>0.48014145657142088</c:v>
                </c:pt>
                <c:pt idx="74">
                  <c:v>0.47534004200570668</c:v>
                </c:pt>
                <c:pt idx="75">
                  <c:v>0.47058664158564961</c:v>
                </c:pt>
                <c:pt idx="76">
                  <c:v>0.46588077516979315</c:v>
                </c:pt>
                <c:pt idx="77">
                  <c:v>0.46122196741809512</c:v>
                </c:pt>
                <c:pt idx="78">
                  <c:v>0.45660974774391422</c:v>
                </c:pt>
                <c:pt idx="79">
                  <c:v>0.45204365026647508</c:v>
                </c:pt>
                <c:pt idx="80">
                  <c:v>0.44752321376381032</c:v>
                </c:pt>
                <c:pt idx="81">
                  <c:v>0.4430479816261722</c:v>
                </c:pt>
                <c:pt idx="82">
                  <c:v>0.43861750180991049</c:v>
                </c:pt>
                <c:pt idx="83">
                  <c:v>0.43423132679181131</c:v>
                </c:pt>
                <c:pt idx="84">
                  <c:v>0.42988901352389325</c:v>
                </c:pt>
                <c:pt idx="85">
                  <c:v>0.42559012338865432</c:v>
                </c:pt>
                <c:pt idx="86">
                  <c:v>0.42133422215476773</c:v>
                </c:pt>
                <c:pt idx="87">
                  <c:v>0.41712087993322011</c:v>
                </c:pt>
                <c:pt idx="88">
                  <c:v>0.41294967113388786</c:v>
                </c:pt>
                <c:pt idx="89">
                  <c:v>0.40882017442254898</c:v>
                </c:pt>
                <c:pt idx="90">
                  <c:v>0.4047319726783235</c:v>
                </c:pt>
                <c:pt idx="91">
                  <c:v>0.40068465295154027</c:v>
                </c:pt>
                <c:pt idx="92">
                  <c:v>0.39667780642202483</c:v>
                </c:pt>
                <c:pt idx="93">
                  <c:v>0.39271102835780453</c:v>
                </c:pt>
                <c:pt idx="94">
                  <c:v>0.38878391807422652</c:v>
                </c:pt>
                <c:pt idx="95">
                  <c:v>0.38489607889348426</c:v>
                </c:pt>
                <c:pt idx="96">
                  <c:v>0.38104711810454939</c:v>
                </c:pt>
                <c:pt idx="97">
                  <c:v>0.37723664692350389</c:v>
                </c:pt>
                <c:pt idx="98">
                  <c:v>0.37346428045426888</c:v>
                </c:pt>
                <c:pt idx="99">
                  <c:v>0.36972963764972616</c:v>
                </c:pt>
                <c:pt idx="100">
                  <c:v>0.36603234127322892</c:v>
                </c:pt>
                <c:pt idx="101">
                  <c:v>0.36237201786049661</c:v>
                </c:pt>
                <c:pt idx="102">
                  <c:v>0.35874829768189165</c:v>
                </c:pt>
                <c:pt idx="103">
                  <c:v>0.35516081470507271</c:v>
                </c:pt>
                <c:pt idx="104">
                  <c:v>0.35160920655802197</c:v>
                </c:pt>
                <c:pt idx="105">
                  <c:v>0.34809311449244174</c:v>
                </c:pt>
                <c:pt idx="106">
                  <c:v>0.34461218334751731</c:v>
                </c:pt>
                <c:pt idx="107">
                  <c:v>0.34116606151404211</c:v>
                </c:pt>
                <c:pt idx="108">
                  <c:v>0.33775440089890174</c:v>
                </c:pt>
                <c:pt idx="109">
                  <c:v>0.33437685688991264</c:v>
                </c:pt>
                <c:pt idx="110">
                  <c:v>0.33103308832101358</c:v>
                </c:pt>
                <c:pt idx="111">
                  <c:v>0.32772275743780344</c:v>
                </c:pt>
                <c:pt idx="112">
                  <c:v>0.3244455298634254</c:v>
                </c:pt>
                <c:pt idx="113">
                  <c:v>0.32120107456479113</c:v>
                </c:pt>
                <c:pt idx="114">
                  <c:v>0.31798906381914321</c:v>
                </c:pt>
                <c:pt idx="115">
                  <c:v>0.31480917318095175</c:v>
                </c:pt>
                <c:pt idx="116">
                  <c:v>0.31166108144914229</c:v>
                </c:pt>
                <c:pt idx="117">
                  <c:v>0.30854447063465085</c:v>
                </c:pt>
                <c:pt idx="118">
                  <c:v>0.30545902592830432</c:v>
                </c:pt>
                <c:pt idx="119">
                  <c:v>0.30240443566902125</c:v>
                </c:pt>
                <c:pt idx="120">
                  <c:v>0.29938039131233107</c:v>
                </c:pt>
                <c:pt idx="121">
                  <c:v>0.2963865873992077</c:v>
                </c:pt>
                <c:pt idx="122">
                  <c:v>0.29342272152521565</c:v>
                </c:pt>
                <c:pt idx="123">
                  <c:v>0.29048849430996354</c:v>
                </c:pt>
                <c:pt idx="124">
                  <c:v>0.28758360936686383</c:v>
                </c:pt>
                <c:pt idx="125">
                  <c:v>0.28470777327319513</c:v>
                </c:pt>
                <c:pt idx="126">
                  <c:v>0.28186069554046328</c:v>
                </c:pt>
                <c:pt idx="127">
                  <c:v>0.27904208858505863</c:v>
                </c:pt>
                <c:pt idx="128">
                  <c:v>0.276251667699208</c:v>
                </c:pt>
                <c:pt idx="129">
                  <c:v>0.27348915102221594</c:v>
                </c:pt>
                <c:pt idx="130">
                  <c:v>0.27075425951199378</c:v>
                </c:pt>
                <c:pt idx="131">
                  <c:v>0.26804671691687382</c:v>
                </c:pt>
                <c:pt idx="132">
                  <c:v>0.26536624974770506</c:v>
                </c:pt>
                <c:pt idx="133">
                  <c:v>0.262712587250228</c:v>
                </c:pt>
                <c:pt idx="134">
                  <c:v>0.2600854613777257</c:v>
                </c:pt>
                <c:pt idx="135">
                  <c:v>0.25748460676394846</c:v>
                </c:pt>
                <c:pt idx="136">
                  <c:v>0.254909760696309</c:v>
                </c:pt>
                <c:pt idx="137">
                  <c:v>0.25236066308934585</c:v>
                </c:pt>
                <c:pt idx="138">
                  <c:v>0.24983705645845242</c:v>
                </c:pt>
                <c:pt idx="139">
                  <c:v>0.2473386858938679</c:v>
                </c:pt>
                <c:pt idx="140">
                  <c:v>0.24486529903492921</c:v>
                </c:pt>
                <c:pt idx="141">
                  <c:v>0.24241664604457991</c:v>
                </c:pt>
                <c:pt idx="142">
                  <c:v>0.23999247958413411</c:v>
                </c:pt>
                <c:pt idx="143">
                  <c:v>0.23759255478829278</c:v>
                </c:pt>
                <c:pt idx="144">
                  <c:v>0.23521662924040984</c:v>
                </c:pt>
                <c:pt idx="145">
                  <c:v>0.23286446294800572</c:v>
                </c:pt>
                <c:pt idx="146">
                  <c:v>0.23053581831852568</c:v>
                </c:pt>
                <c:pt idx="147">
                  <c:v>0.2282304601353404</c:v>
                </c:pt>
                <c:pt idx="148">
                  <c:v>0.22594815553398703</c:v>
                </c:pt>
                <c:pt idx="149">
                  <c:v>0.22368867397864714</c:v>
                </c:pt>
                <c:pt idx="150">
                  <c:v>0.22145178723886064</c:v>
                </c:pt>
                <c:pt idx="151">
                  <c:v>0.21923726936647206</c:v>
                </c:pt>
                <c:pt idx="152">
                  <c:v>0.21704489667280732</c:v>
                </c:pt>
                <c:pt idx="153">
                  <c:v>0.21487444770607925</c:v>
                </c:pt>
                <c:pt idx="154">
                  <c:v>0.21272570322901846</c:v>
                </c:pt>
                <c:pt idx="155">
                  <c:v>0.21059844619672827</c:v>
                </c:pt>
                <c:pt idx="156">
                  <c:v>0.20849246173476096</c:v>
                </c:pt>
                <c:pt idx="157">
                  <c:v>0.20640753711741333</c:v>
                </c:pt>
                <c:pt idx="158">
                  <c:v>0.20434346174623924</c:v>
                </c:pt>
                <c:pt idx="159">
                  <c:v>0.20230002712877682</c:v>
                </c:pt>
                <c:pt idx="160">
                  <c:v>0.20027702685748905</c:v>
                </c:pt>
                <c:pt idx="161">
                  <c:v>0.19827425658891415</c:v>
                </c:pt>
                <c:pt idx="162">
                  <c:v>0.19629151402302503</c:v>
                </c:pt>
                <c:pt idx="163">
                  <c:v>0.19432859888279477</c:v>
                </c:pt>
                <c:pt idx="164">
                  <c:v>0.19238531289396682</c:v>
                </c:pt>
                <c:pt idx="165">
                  <c:v>0.19046145976502715</c:v>
                </c:pt>
                <c:pt idx="166">
                  <c:v>0.18855684516737689</c:v>
                </c:pt>
                <c:pt idx="167">
                  <c:v>0.1866712767157031</c:v>
                </c:pt>
                <c:pt idx="168">
                  <c:v>0.18480456394854605</c:v>
                </c:pt>
                <c:pt idx="169">
                  <c:v>0.1829565183090606</c:v>
                </c:pt>
                <c:pt idx="170">
                  <c:v>0.18112695312596999</c:v>
                </c:pt>
                <c:pt idx="171">
                  <c:v>0.17931568359471028</c:v>
                </c:pt>
                <c:pt idx="172">
                  <c:v>0.1775225267587632</c:v>
                </c:pt>
                <c:pt idx="173">
                  <c:v>0.17574730149117554</c:v>
                </c:pt>
                <c:pt idx="174">
                  <c:v>0.17398982847626379</c:v>
                </c:pt>
                <c:pt idx="175">
                  <c:v>0.17224993019150114</c:v>
                </c:pt>
                <c:pt idx="176">
                  <c:v>0.17052743088958613</c:v>
                </c:pt>
                <c:pt idx="177">
                  <c:v>0.16882215658069027</c:v>
                </c:pt>
                <c:pt idx="178">
                  <c:v>0.16713393501488336</c:v>
                </c:pt>
                <c:pt idx="179">
                  <c:v>0.16546259566473454</c:v>
                </c:pt>
                <c:pt idx="180">
                  <c:v>0.1638079697080872</c:v>
                </c:pt>
                <c:pt idx="181">
                  <c:v>0.16216989001100632</c:v>
                </c:pt>
                <c:pt idx="182">
                  <c:v>0.16054819111089624</c:v>
                </c:pt>
                <c:pt idx="183">
                  <c:v>0.15894270919978729</c:v>
                </c:pt>
                <c:pt idx="184">
                  <c:v>0.1573532821077894</c:v>
                </c:pt>
                <c:pt idx="185">
                  <c:v>0.15577974928671148</c:v>
                </c:pt>
                <c:pt idx="186">
                  <c:v>0.15422195179384438</c:v>
                </c:pt>
                <c:pt idx="187">
                  <c:v>0.15267973227590595</c:v>
                </c:pt>
                <c:pt idx="188">
                  <c:v>0.15115293495314686</c:v>
                </c:pt>
                <c:pt idx="189">
                  <c:v>0.14964140560361539</c:v>
                </c:pt>
                <c:pt idx="190">
                  <c:v>0.14814499154757926</c:v>
                </c:pt>
                <c:pt idx="191">
                  <c:v>0.14666354163210346</c:v>
                </c:pt>
                <c:pt idx="192">
                  <c:v>0.14519690621578241</c:v>
                </c:pt>
                <c:pt idx="193">
                  <c:v>0.1437449371536246</c:v>
                </c:pt>
                <c:pt idx="194">
                  <c:v>0.14230748778208835</c:v>
                </c:pt>
                <c:pt idx="195">
                  <c:v>0.14088441290426745</c:v>
                </c:pt>
                <c:pt idx="196">
                  <c:v>0.1394755687752248</c:v>
                </c:pt>
                <c:pt idx="197">
                  <c:v>0.13808081308747253</c:v>
                </c:pt>
                <c:pt idx="198">
                  <c:v>0.13670000495659779</c:v>
                </c:pt>
                <c:pt idx="199">
                  <c:v>0.13533300490703182</c:v>
                </c:pt>
                <c:pt idx="200">
                  <c:v>0.13397967485796147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A4-4CF8-8DCE-5E60B3C23A31}"/>
            </c:ext>
          </c:extLst>
        </c:ser>
        <c:ser>
          <c:idx val="3"/>
          <c:order val="3"/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'Panel A - drift'!$A$8:$A$208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'Panel A - drift'!$E$8:$E$208</c:f>
              <c:numCache>
                <c:formatCode>0.0000</c:formatCode>
                <c:ptCount val="201"/>
                <c:pt idx="0">
                  <c:v>1</c:v>
                </c:pt>
                <c:pt idx="1">
                  <c:v>0.995</c:v>
                </c:pt>
                <c:pt idx="2">
                  <c:v>0.99002500000000004</c:v>
                </c:pt>
                <c:pt idx="3">
                  <c:v>0.98507487500000002</c:v>
                </c:pt>
                <c:pt idx="4">
                  <c:v>0.98014950062500006</c:v>
                </c:pt>
                <c:pt idx="5">
                  <c:v>0.97524875312187509</c:v>
                </c:pt>
                <c:pt idx="6">
                  <c:v>0.97037250935626573</c:v>
                </c:pt>
                <c:pt idx="7">
                  <c:v>0.96552064680948435</c:v>
                </c:pt>
                <c:pt idx="8">
                  <c:v>0.96069304357543694</c:v>
                </c:pt>
                <c:pt idx="9">
                  <c:v>0.95588957835755972</c:v>
                </c:pt>
                <c:pt idx="10">
                  <c:v>0.95111013046577197</c:v>
                </c:pt>
                <c:pt idx="11">
                  <c:v>0.94635457981344306</c:v>
                </c:pt>
                <c:pt idx="12">
                  <c:v>0.94162280691437594</c:v>
                </c:pt>
                <c:pt idx="13">
                  <c:v>0.93691469287980411</c:v>
                </c:pt>
                <c:pt idx="14">
                  <c:v>0.93223011941540512</c:v>
                </c:pt>
                <c:pt idx="15">
                  <c:v>0.92756896881832807</c:v>
                </c:pt>
                <c:pt idx="16">
                  <c:v>0.92293112397423638</c:v>
                </c:pt>
                <c:pt idx="17">
                  <c:v>0.9183164683543652</c:v>
                </c:pt>
                <c:pt idx="18">
                  <c:v>0.91372488601259338</c:v>
                </c:pt>
                <c:pt idx="19">
                  <c:v>0.90915626158253038</c:v>
                </c:pt>
                <c:pt idx="20">
                  <c:v>0.90461048027461777</c:v>
                </c:pt>
                <c:pt idx="21">
                  <c:v>0.90008742787324469</c:v>
                </c:pt>
                <c:pt idx="22">
                  <c:v>0.89558699073387849</c:v>
                </c:pt>
                <c:pt idx="23">
                  <c:v>0.89110905578020905</c:v>
                </c:pt>
                <c:pt idx="24">
                  <c:v>0.88665351050130803</c:v>
                </c:pt>
                <c:pt idx="25">
                  <c:v>0.88222024294880153</c:v>
                </c:pt>
                <c:pt idx="26">
                  <c:v>0.87780914173405755</c:v>
                </c:pt>
                <c:pt idx="27">
                  <c:v>0.87342009602538717</c:v>
                </c:pt>
                <c:pt idx="28">
                  <c:v>0.86905299554526039</c:v>
                </c:pt>
                <c:pt idx="29">
                  <c:v>0.86470773056753414</c:v>
                </c:pt>
                <c:pt idx="30">
                  <c:v>0.86038419191469639</c:v>
                </c:pt>
                <c:pt idx="31">
                  <c:v>0.8560822709551229</c:v>
                </c:pt>
                <c:pt idx="32">
                  <c:v>0.85180185960034727</c:v>
                </c:pt>
                <c:pt idx="33">
                  <c:v>0.84754285030234555</c:v>
                </c:pt>
                <c:pt idx="34">
                  <c:v>0.84330513605083379</c:v>
                </c:pt>
                <c:pt idx="35">
                  <c:v>0.83908861037057969</c:v>
                </c:pt>
                <c:pt idx="36">
                  <c:v>0.83489316731872676</c:v>
                </c:pt>
                <c:pt idx="37">
                  <c:v>0.83071870148213323</c:v>
                </c:pt>
                <c:pt idx="38">
                  <c:v>0.82656510797472249</c:v>
                </c:pt>
                <c:pt idx="39">
                  <c:v>0.82243228243484889</c:v>
                </c:pt>
                <c:pt idx="40">
                  <c:v>0.8183201210226746</c:v>
                </c:pt>
                <c:pt idx="41">
                  <c:v>0.81422852041756122</c:v>
                </c:pt>
                <c:pt idx="42">
                  <c:v>0.81015737781547348</c:v>
                </c:pt>
                <c:pt idx="43">
                  <c:v>0.80610659092639603</c:v>
                </c:pt>
                <c:pt idx="44">
                  <c:v>0.80207605797176418</c:v>
                </c:pt>
                <c:pt idx="45">
                  <c:v>0.79806567768190539</c:v>
                </c:pt>
                <c:pt idx="46">
                  <c:v>0.79407534929349588</c:v>
                </c:pt>
                <c:pt idx="47">
                  <c:v>0.79010497254702838</c:v>
                </c:pt>
                <c:pt idx="48">
                  <c:v>0.78615444768429321</c:v>
                </c:pt>
                <c:pt idx="49">
                  <c:v>0.78222367544587168</c:v>
                </c:pt>
                <c:pt idx="50">
                  <c:v>0.77831255706864233</c:v>
                </c:pt>
                <c:pt idx="51">
                  <c:v>0.77442099428329914</c:v>
                </c:pt>
                <c:pt idx="52">
                  <c:v>0.7705488893118827</c:v>
                </c:pt>
                <c:pt idx="53">
                  <c:v>0.76669614486532323</c:v>
                </c:pt>
                <c:pt idx="54">
                  <c:v>0.76286266414099668</c:v>
                </c:pt>
                <c:pt idx="55">
                  <c:v>0.75904835082029165</c:v>
                </c:pt>
                <c:pt idx="56">
                  <c:v>0.75525310906619025</c:v>
                </c:pt>
                <c:pt idx="57">
                  <c:v>0.75147684352085931</c:v>
                </c:pt>
                <c:pt idx="58">
                  <c:v>0.74771945930325501</c:v>
                </c:pt>
                <c:pt idx="59">
                  <c:v>0.74398086200673863</c:v>
                </c:pt>
                <c:pt idx="60">
                  <c:v>0.74026095769670508</c:v>
                </c:pt>
                <c:pt idx="61">
                  <c:v>0.73655965290822167</c:v>
                </c:pt>
                <c:pt idx="62">
                  <c:v>0.73287685464368046</c:v>
                </c:pt>
                <c:pt idx="63">
                  <c:v>0.729212470370462</c:v>
                </c:pt>
                <c:pt idx="64">
                  <c:v>0.72556640801860972</c:v>
                </c:pt>
                <c:pt idx="65">
                  <c:v>0.72193857597851663</c:v>
                </c:pt>
                <c:pt idx="66">
                  <c:v>0.71832888309862408</c:v>
                </c:pt>
                <c:pt idx="67">
                  <c:v>0.71473723868313099</c:v>
                </c:pt>
                <c:pt idx="68">
                  <c:v>0.71116355248971541</c:v>
                </c:pt>
                <c:pt idx="69">
                  <c:v>0.70760773472726679</c:v>
                </c:pt>
                <c:pt idx="70">
                  <c:v>0.70406969605363046</c:v>
                </c:pt>
                <c:pt idx="71">
                  <c:v>0.70054934757336229</c:v>
                </c:pt>
                <c:pt idx="72">
                  <c:v>0.69704660083549552</c:v>
                </c:pt>
                <c:pt idx="73">
                  <c:v>0.69356136783131794</c:v>
                </c:pt>
                <c:pt idx="74">
                  <c:v>0.69009356099216146</c:v>
                </c:pt>
                <c:pt idx="75">
                  <c:v>0.68664309318720063</c:v>
                </c:pt>
                <c:pt idx="76">
                  <c:v>0.68320987772126462</c:v>
                </c:pt>
                <c:pt idx="77">
                  <c:v>0.67979382833265833</c:v>
                </c:pt>
                <c:pt idx="78">
                  <c:v>0.67639485919099507</c:v>
                </c:pt>
                <c:pt idx="79">
                  <c:v>0.67301288489504008</c:v>
                </c:pt>
                <c:pt idx="80">
                  <c:v>0.66964782047056481</c:v>
                </c:pt>
                <c:pt idx="81">
                  <c:v>0.66629958136821199</c:v>
                </c:pt>
                <c:pt idx="82">
                  <c:v>0.66296808346137104</c:v>
                </c:pt>
                <c:pt idx="83">
                  <c:v>0.65965324304406414</c:v>
                </c:pt>
                <c:pt idx="84">
                  <c:v>0.65635497682884381</c:v>
                </c:pt>
                <c:pt idx="85">
                  <c:v>0.65307320194469964</c:v>
                </c:pt>
                <c:pt idx="86">
                  <c:v>0.64980783593497615</c:v>
                </c:pt>
                <c:pt idx="87">
                  <c:v>0.64655879675530126</c:v>
                </c:pt>
                <c:pt idx="88">
                  <c:v>0.64332600277152474</c:v>
                </c:pt>
                <c:pt idx="89">
                  <c:v>0.64010937275766711</c:v>
                </c:pt>
                <c:pt idx="90">
                  <c:v>0.63690882589387876</c:v>
                </c:pt>
                <c:pt idx="91">
                  <c:v>0.63372428176440931</c:v>
                </c:pt>
                <c:pt idx="92">
                  <c:v>0.63055566035558741</c:v>
                </c:pt>
                <c:pt idx="93">
                  <c:v>0.62740288205380956</c:v>
                </c:pt>
                <c:pt idx="94">
                  <c:v>0.62426586764354042</c:v>
                </c:pt>
                <c:pt idx="95">
                  <c:v>0.62114453830532268</c:v>
                </c:pt>
                <c:pt idx="96">
                  <c:v>0.61803881561379603</c:v>
                </c:pt>
                <c:pt idx="97">
                  <c:v>0.61494862153572716</c:v>
                </c:pt>
                <c:pt idx="98">
                  <c:v>0.61187387842804841</c:v>
                </c:pt>
                <c:pt idx="99">
                  <c:v>0.60881450903590828</c:v>
                </c:pt>
                <c:pt idx="100">
                  <c:v>0.6057704364907287</c:v>
                </c:pt>
                <c:pt idx="101">
                  <c:v>0.60274158430827507</c:v>
                </c:pt>
                <c:pt idx="102">
                  <c:v>0.59972787638673375</c:v>
                </c:pt>
                <c:pt idx="103">
                  <c:v>0.59672923700480007</c:v>
                </c:pt>
                <c:pt idx="104">
                  <c:v>0.59374559081977596</c:v>
                </c:pt>
                <c:pt idx="105">
                  <c:v>0.5907768628656771</c:v>
                </c:pt>
                <c:pt idx="106">
                  <c:v>0.5878229785513488</c:v>
                </c:pt>
                <c:pt idx="107">
                  <c:v>0.58488386365859202</c:v>
                </c:pt>
                <c:pt idx="108">
                  <c:v>0.58195944434029911</c:v>
                </c:pt>
                <c:pt idx="109">
                  <c:v>0.57904964711859763</c:v>
                </c:pt>
                <c:pt idx="110">
                  <c:v>0.57615439888300468</c:v>
                </c:pt>
                <c:pt idx="111">
                  <c:v>0.57327362688858963</c:v>
                </c:pt>
                <c:pt idx="112">
                  <c:v>0.57040725875414666</c:v>
                </c:pt>
                <c:pt idx="113">
                  <c:v>0.56755522246037593</c:v>
                </c:pt>
                <c:pt idx="114">
                  <c:v>0.56471744634807397</c:v>
                </c:pt>
                <c:pt idx="115">
                  <c:v>0.5618938591163336</c:v>
                </c:pt>
                <c:pt idx="116">
                  <c:v>0.55908438982075204</c:v>
                </c:pt>
                <c:pt idx="117">
                  <c:v>0.55628896787164817</c:v>
                </c:pt>
                <c:pt idx="118">
                  <c:v>0.55350752303229001</c:v>
                </c:pt>
                <c:pt idx="119">
                  <c:v>0.55073998541712854</c:v>
                </c:pt>
                <c:pt idx="120">
                  <c:v>0.54798628549004291</c:v>
                </c:pt>
                <c:pt idx="121">
                  <c:v>0.5452463540625927</c:v>
                </c:pt>
                <c:pt idx="122">
                  <c:v>0.54252012229227975</c:v>
                </c:pt>
                <c:pt idx="123">
                  <c:v>0.53980752168081825</c:v>
                </c:pt>
                <c:pt idx="124">
                  <c:v>0.53710848407241429</c:v>
                </c:pt>
                <c:pt idx="125">
                  <c:v>0.53442294165205229</c:v>
                </c:pt>
                <c:pt idx="126">
                  <c:v>0.53175082694379194</c:v>
                </c:pt>
                <c:pt idx="127">
                  <c:v>0.529092072809073</c:v>
                </c:pt>
                <c:pt idx="128">
                  <c:v>0.52644661244502766</c:v>
                </c:pt>
                <c:pt idx="129">
                  <c:v>0.52381437938280251</c:v>
                </c:pt>
                <c:pt idx="130">
                  <c:v>0.52119530748588849</c:v>
                </c:pt>
                <c:pt idx="131">
                  <c:v>0.51858933094845905</c:v>
                </c:pt>
                <c:pt idx="132">
                  <c:v>0.51599638429371686</c:v>
                </c:pt>
                <c:pt idx="133">
                  <c:v>0.51341640237224828</c:v>
                </c:pt>
                <c:pt idx="134">
                  <c:v>0.51084932036038699</c:v>
                </c:pt>
                <c:pt idx="135">
                  <c:v>0.50829507375858507</c:v>
                </c:pt>
                <c:pt idx="136">
                  <c:v>0.50575359838979217</c:v>
                </c:pt>
                <c:pt idx="137">
                  <c:v>0.50322483039784316</c:v>
                </c:pt>
                <c:pt idx="138">
                  <c:v>0.50070870624585395</c:v>
                </c:pt>
                <c:pt idx="139">
                  <c:v>0.49820516271462467</c:v>
                </c:pt>
                <c:pt idx="140">
                  <c:v>0.49571413690105159</c:v>
                </c:pt>
                <c:pt idx="141">
                  <c:v>0.49323556621654635</c:v>
                </c:pt>
                <c:pt idx="142">
                  <c:v>0.49076938838546363</c:v>
                </c:pt>
                <c:pt idx="143">
                  <c:v>0.48831554144353628</c:v>
                </c:pt>
                <c:pt idx="144">
                  <c:v>0.48587396373631858</c:v>
                </c:pt>
                <c:pt idx="145">
                  <c:v>0.483444593917637</c:v>
                </c:pt>
                <c:pt idx="146">
                  <c:v>0.48102737094804882</c:v>
                </c:pt>
                <c:pt idx="147">
                  <c:v>0.47862223409330856</c:v>
                </c:pt>
                <c:pt idx="148">
                  <c:v>0.47622912292284203</c:v>
                </c:pt>
                <c:pt idx="149">
                  <c:v>0.47384797730822786</c:v>
                </c:pt>
                <c:pt idx="150">
                  <c:v>0.47147873742168672</c:v>
                </c:pt>
                <c:pt idx="151">
                  <c:v>0.46912134373457826</c:v>
                </c:pt>
                <c:pt idx="152">
                  <c:v>0.46677573701590536</c:v>
                </c:pt>
                <c:pt idx="153">
                  <c:v>0.46444185833082585</c:v>
                </c:pt>
                <c:pt idx="154">
                  <c:v>0.46211964903917174</c:v>
                </c:pt>
                <c:pt idx="155">
                  <c:v>0.45980905079397583</c:v>
                </c:pt>
                <c:pt idx="156">
                  <c:v>0.45751000554000604</c:v>
                </c:pt>
                <c:pt idx="157">
                  <c:v>0.45522245551230606</c:v>
                </c:pt>
                <c:pt idx="158">
                  <c:v>0.45294634323474448</c:v>
                </c:pt>
                <c:pt idx="159">
                  <c:v>0.45068161151857072</c:v>
                </c:pt>
                <c:pt idx="160">
                  <c:v>0.44842820346097789</c:v>
                </c:pt>
                <c:pt idx="161">
                  <c:v>0.44618606244367298</c:v>
                </c:pt>
                <c:pt idx="162">
                  <c:v>0.4439551321314546</c:v>
                </c:pt>
                <c:pt idx="163">
                  <c:v>0.44173535647079737</c:v>
                </c:pt>
                <c:pt idx="164">
                  <c:v>0.43952667968844339</c:v>
                </c:pt>
                <c:pt idx="165">
                  <c:v>0.43732904629000124</c:v>
                </c:pt>
                <c:pt idx="166">
                  <c:v>0.43514240105855118</c:v>
                </c:pt>
                <c:pt idx="167">
                  <c:v>0.43296668905325841</c:v>
                </c:pt>
                <c:pt idx="168">
                  <c:v>0.43080185560799211</c:v>
                </c:pt>
                <c:pt idx="169">
                  <c:v>0.42864784632995212</c:v>
                </c:pt>
                <c:pt idx="170">
                  <c:v>0.4265046070983024</c:v>
                </c:pt>
                <c:pt idx="171">
                  <c:v>0.42437208406281085</c:v>
                </c:pt>
                <c:pt idx="172">
                  <c:v>0.42225022364249687</c:v>
                </c:pt>
                <c:pt idx="173">
                  <c:v>0.42013897252428439</c:v>
                </c:pt>
                <c:pt idx="174">
                  <c:v>0.41803827766166302</c:v>
                </c:pt>
                <c:pt idx="175">
                  <c:v>0.41594808627335467</c:v>
                </c:pt>
                <c:pt idx="176">
                  <c:v>0.41386834584198789</c:v>
                </c:pt>
                <c:pt idx="177">
                  <c:v>0.41179900411277792</c:v>
                </c:pt>
                <c:pt idx="178">
                  <c:v>0.40974000909221403</c:v>
                </c:pt>
                <c:pt idx="179">
                  <c:v>0.40769130904675294</c:v>
                </c:pt>
                <c:pt idx="180">
                  <c:v>0.40565285250151922</c:v>
                </c:pt>
                <c:pt idx="181">
                  <c:v>0.40362458823901159</c:v>
                </c:pt>
                <c:pt idx="182">
                  <c:v>0.40160646529781657</c:v>
                </c:pt>
                <c:pt idx="183">
                  <c:v>0.39959843297132747</c:v>
                </c:pt>
                <c:pt idx="184">
                  <c:v>0.39760044080647089</c:v>
                </c:pt>
                <c:pt idx="185">
                  <c:v>0.3956124386024385</c:v>
                </c:pt>
                <c:pt idx="186">
                  <c:v>0.39363437640942633</c:v>
                </c:pt>
                <c:pt idx="187">
                  <c:v>0.39166620452737916</c:v>
                </c:pt>
                <c:pt idx="188">
                  <c:v>0.38970787350474234</c:v>
                </c:pt>
                <c:pt idx="189">
                  <c:v>0.38775933413721869</c:v>
                </c:pt>
                <c:pt idx="190">
                  <c:v>0.3858205374665325</c:v>
                </c:pt>
                <c:pt idx="191">
                  <c:v>0.38389143477919985</c:v>
                </c:pt>
                <c:pt idx="192">
                  <c:v>0.38197197760530383</c:v>
                </c:pt>
                <c:pt idx="193">
                  <c:v>0.38006211771727733</c:v>
                </c:pt>
                <c:pt idx="194">
                  <c:v>0.37816180712869091</c:v>
                </c:pt>
                <c:pt idx="195">
                  <c:v>0.37627099809304748</c:v>
                </c:pt>
                <c:pt idx="196">
                  <c:v>0.37438964310258227</c:v>
                </c:pt>
                <c:pt idx="197">
                  <c:v>0.37251769488706937</c:v>
                </c:pt>
                <c:pt idx="198">
                  <c:v>0.37065510641263399</c:v>
                </c:pt>
                <c:pt idx="199">
                  <c:v>0.36880183088057084</c:v>
                </c:pt>
                <c:pt idx="200">
                  <c:v>0.36695782172616803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A4-4CF8-8DCE-5E60B3C23A31}"/>
            </c:ext>
          </c:extLst>
        </c:ser>
        <c:ser>
          <c:idx val="4"/>
          <c:order val="4"/>
          <c:spPr>
            <a:ln w="38100" cap="rnd">
              <a:solidFill>
                <a:srgbClr val="EB6834"/>
              </a:solidFill>
              <a:round/>
            </a:ln>
            <a:effectLst/>
          </c:spPr>
          <c:marker>
            <c:symbol val="none"/>
          </c:marker>
          <c:xVal>
            <c:numRef>
              <c:f>'Panel A - drift'!$A$8:$A$208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'Panel A - drift'!$F$8:$F$208</c:f>
              <c:numCache>
                <c:formatCode>0.0000</c:formatCode>
                <c:ptCount val="201"/>
                <c:pt idx="0">
                  <c:v>1</c:v>
                </c:pt>
                <c:pt idx="1">
                  <c:v>0.999</c:v>
                </c:pt>
                <c:pt idx="2">
                  <c:v>0.99800100000000003</c:v>
                </c:pt>
                <c:pt idx="3">
                  <c:v>0.997002999</c:v>
                </c:pt>
                <c:pt idx="4">
                  <c:v>0.99600599600100004</c:v>
                </c:pt>
                <c:pt idx="5">
                  <c:v>0.99500999000499901</c:v>
                </c:pt>
                <c:pt idx="6">
                  <c:v>0.99401498001499411</c:v>
                </c:pt>
                <c:pt idx="7">
                  <c:v>0.99302096503497905</c:v>
                </c:pt>
                <c:pt idx="8">
                  <c:v>0.9920279440699441</c:v>
                </c:pt>
                <c:pt idx="9">
                  <c:v>0.99103591612587416</c:v>
                </c:pt>
                <c:pt idx="10">
                  <c:v>0.99004488020974835</c:v>
                </c:pt>
                <c:pt idx="11">
                  <c:v>0.98905483532953853</c:v>
                </c:pt>
                <c:pt idx="12">
                  <c:v>0.98806578049420901</c:v>
                </c:pt>
                <c:pt idx="13">
                  <c:v>0.98707771471371475</c:v>
                </c:pt>
                <c:pt idx="14">
                  <c:v>0.98609063699900112</c:v>
                </c:pt>
                <c:pt idx="15">
                  <c:v>0.98510454636200206</c:v>
                </c:pt>
                <c:pt idx="16">
                  <c:v>0.98411944181564015</c:v>
                </c:pt>
                <c:pt idx="17">
                  <c:v>0.98313532237382451</c:v>
                </c:pt>
                <c:pt idx="18">
                  <c:v>0.98215218705145069</c:v>
                </c:pt>
                <c:pt idx="19">
                  <c:v>0.98117003486439924</c:v>
                </c:pt>
                <c:pt idx="20">
                  <c:v>0.98018886482953482</c:v>
                </c:pt>
                <c:pt idx="21">
                  <c:v>0.97920867596470529</c:v>
                </c:pt>
                <c:pt idx="22">
                  <c:v>0.97822946728874072</c:v>
                </c:pt>
                <c:pt idx="23">
                  <c:v>0.97725123782145185</c:v>
                </c:pt>
                <c:pt idx="24">
                  <c:v>0.97627398658363052</c:v>
                </c:pt>
                <c:pt idx="25">
                  <c:v>0.9752977125970469</c:v>
                </c:pt>
                <c:pt idx="26">
                  <c:v>0.97432241488444982</c:v>
                </c:pt>
                <c:pt idx="27">
                  <c:v>0.97334809246956533</c:v>
                </c:pt>
                <c:pt idx="28">
                  <c:v>0.97237474437709581</c:v>
                </c:pt>
                <c:pt idx="29">
                  <c:v>0.97140236963271864</c:v>
                </c:pt>
                <c:pt idx="30">
                  <c:v>0.97043096726308598</c:v>
                </c:pt>
                <c:pt idx="31">
                  <c:v>0.96946053629582285</c:v>
                </c:pt>
                <c:pt idx="32">
                  <c:v>0.96849107575952709</c:v>
                </c:pt>
                <c:pt idx="33">
                  <c:v>0.96752258468376751</c:v>
                </c:pt>
                <c:pt idx="34">
                  <c:v>0.96655506209908382</c:v>
                </c:pt>
                <c:pt idx="35">
                  <c:v>0.96558850703698473</c:v>
                </c:pt>
                <c:pt idx="36">
                  <c:v>0.96462291852994775</c:v>
                </c:pt>
                <c:pt idx="37">
                  <c:v>0.9636582956114178</c:v>
                </c:pt>
                <c:pt idx="38">
                  <c:v>0.96269463731580651</c:v>
                </c:pt>
                <c:pt idx="39">
                  <c:v>0.9617319426784906</c:v>
                </c:pt>
                <c:pt idx="40">
                  <c:v>0.96077021073581215</c:v>
                </c:pt>
                <c:pt idx="41">
                  <c:v>0.95980944052507633</c:v>
                </c:pt>
                <c:pt idx="42">
                  <c:v>0.95884963108455135</c:v>
                </c:pt>
                <c:pt idx="43">
                  <c:v>0.95789078145346673</c:v>
                </c:pt>
                <c:pt idx="44">
                  <c:v>0.95693289067201326</c:v>
                </c:pt>
                <c:pt idx="45">
                  <c:v>0.95597595778134115</c:v>
                </c:pt>
                <c:pt idx="46">
                  <c:v>0.95501998182355996</c:v>
                </c:pt>
                <c:pt idx="47">
                  <c:v>0.95406496184173628</c:v>
                </c:pt>
                <c:pt idx="48">
                  <c:v>0.9531108968798947</c:v>
                </c:pt>
                <c:pt idx="49">
                  <c:v>0.9521577859830147</c:v>
                </c:pt>
                <c:pt idx="50">
                  <c:v>0.95120562819703169</c:v>
                </c:pt>
                <c:pt idx="51">
                  <c:v>0.95025442256883474</c:v>
                </c:pt>
                <c:pt idx="52">
                  <c:v>0.94930416814626584</c:v>
                </c:pt>
                <c:pt idx="53">
                  <c:v>0.94835486397811963</c:v>
                </c:pt>
                <c:pt idx="54">
                  <c:v>0.94740650911414159</c:v>
                </c:pt>
                <c:pt idx="55">
                  <c:v>0.9464591026050273</c:v>
                </c:pt>
                <c:pt idx="56">
                  <c:v>0.94551264350242248</c:v>
                </c:pt>
                <c:pt idx="57">
                  <c:v>0.94456713085891997</c:v>
                </c:pt>
                <c:pt idx="58">
                  <c:v>0.94362256372806108</c:v>
                </c:pt>
                <c:pt idx="59">
                  <c:v>0.94267894116433293</c:v>
                </c:pt>
                <c:pt idx="60">
                  <c:v>0.94173626222316864</c:v>
                </c:pt>
                <c:pt idx="61">
                  <c:v>0.94079452596094548</c:v>
                </c:pt>
                <c:pt idx="62">
                  <c:v>0.93985373143498452</c:v>
                </c:pt>
                <c:pt idx="63">
                  <c:v>0.9389138777035495</c:v>
                </c:pt>
                <c:pt idx="64">
                  <c:v>0.937974963825846</c:v>
                </c:pt>
                <c:pt idx="65">
                  <c:v>0.93703698886202014</c:v>
                </c:pt>
                <c:pt idx="66">
                  <c:v>0.9360999518731582</c:v>
                </c:pt>
                <c:pt idx="67">
                  <c:v>0.93516385192128493</c:v>
                </c:pt>
                <c:pt idx="68">
                  <c:v>0.93422868806936377</c:v>
                </c:pt>
                <c:pt idx="69">
                  <c:v>0.93329445938129429</c:v>
                </c:pt>
                <c:pt idx="70">
                  <c:v>0.93236116492191312</c:v>
                </c:pt>
                <c:pt idx="71">
                  <c:v>0.93142880375699111</c:v>
                </c:pt>
                <c:pt idx="72">
                  <c:v>0.93049737495323415</c:v>
                </c:pt>
                <c:pt idx="73">
                  <c:v>0.92956687757828094</c:v>
                </c:pt>
                <c:pt idx="74">
                  <c:v>0.92863731070070277</c:v>
                </c:pt>
                <c:pt idx="75">
                  <c:v>0.92770867339000196</c:v>
                </c:pt>
                <c:pt idx="76">
                  <c:v>0.92678096471661198</c:v>
                </c:pt>
                <c:pt idx="77">
                  <c:v>0.92585418375189532</c:v>
                </c:pt>
                <c:pt idx="78">
                  <c:v>0.92492832956814353</c:v>
                </c:pt>
                <c:pt idx="79">
                  <c:v>0.92400340123857527</c:v>
                </c:pt>
                <c:pt idx="80">
                  <c:v>0.92307939783733683</c:v>
                </c:pt>
                <c:pt idx="81">
                  <c:v>0.92215631843949952</c:v>
                </c:pt>
                <c:pt idx="82">
                  <c:v>0.92123416212106002</c:v>
                </c:pt>
                <c:pt idx="83">
                  <c:v>0.92031292795893893</c:v>
                </c:pt>
                <c:pt idx="84">
                  <c:v>0.91939261503098002</c:v>
                </c:pt>
                <c:pt idx="85">
                  <c:v>0.91847322241594898</c:v>
                </c:pt>
                <c:pt idx="86">
                  <c:v>0.91755474919353319</c:v>
                </c:pt>
                <c:pt idx="87">
                  <c:v>0.91663719444433955</c:v>
                </c:pt>
                <c:pt idx="88">
                  <c:v>0.91572055724989532</c:v>
                </c:pt>
                <c:pt idx="89">
                  <c:v>0.91480483669264545</c:v>
                </c:pt>
                <c:pt idx="90">
                  <c:v>0.91389003185595274</c:v>
                </c:pt>
                <c:pt idx="91">
                  <c:v>0.9129761418240967</c:v>
                </c:pt>
                <c:pt idx="92">
                  <c:v>0.91206316568227275</c:v>
                </c:pt>
                <c:pt idx="93">
                  <c:v>0.91115110251659037</c:v>
                </c:pt>
                <c:pt idx="94">
                  <c:v>0.91023995141407377</c:v>
                </c:pt>
                <c:pt idx="95">
                  <c:v>0.90932971146265973</c:v>
                </c:pt>
                <c:pt idx="96">
                  <c:v>0.9084203817511971</c:v>
                </c:pt>
                <c:pt idx="97">
                  <c:v>0.9075119613694459</c:v>
                </c:pt>
                <c:pt idx="98">
                  <c:v>0.9066044494080765</c:v>
                </c:pt>
                <c:pt idx="99">
                  <c:v>0.90569784495866845</c:v>
                </c:pt>
                <c:pt idx="100">
                  <c:v>0.9047921471137097</c:v>
                </c:pt>
                <c:pt idx="101">
                  <c:v>0.903887354966596</c:v>
                </c:pt>
                <c:pt idx="102">
                  <c:v>0.90298346761162951</c:v>
                </c:pt>
                <c:pt idx="103">
                  <c:v>0.90208048414401787</c:v>
                </c:pt>
                <c:pt idx="104">
                  <c:v>0.90117840365987378</c:v>
                </c:pt>
                <c:pt idx="105">
                  <c:v>0.90027722525621401</c:v>
                </c:pt>
                <c:pt idx="106">
                  <c:v>0.8993769480309578</c:v>
                </c:pt>
                <c:pt idx="107">
                  <c:v>0.89847757108292681</c:v>
                </c:pt>
                <c:pt idx="108">
                  <c:v>0.89757909351184384</c:v>
                </c:pt>
                <c:pt idx="109">
                  <c:v>0.89668151441833199</c:v>
                </c:pt>
                <c:pt idx="110">
                  <c:v>0.89578483290391375</c:v>
                </c:pt>
                <c:pt idx="111">
                  <c:v>0.89488904807100977</c:v>
                </c:pt>
                <c:pt idx="112">
                  <c:v>0.89399415902293888</c:v>
                </c:pt>
                <c:pt idx="113">
                  <c:v>0.89310016486391586</c:v>
                </c:pt>
                <c:pt idx="114">
                  <c:v>0.89220706469905187</c:v>
                </c:pt>
                <c:pt idx="115">
                  <c:v>0.89131485763435292</c:v>
                </c:pt>
                <c:pt idx="116">
                  <c:v>0.89042354277671854</c:v>
                </c:pt>
                <c:pt idx="117">
                  <c:v>0.88953311923394185</c:v>
                </c:pt>
                <c:pt idx="118">
                  <c:v>0.88864358611470795</c:v>
                </c:pt>
                <c:pt idx="119">
                  <c:v>0.88775494252859311</c:v>
                </c:pt>
                <c:pt idx="120">
                  <c:v>0.88686718758606475</c:v>
                </c:pt>
                <c:pt idx="121">
                  <c:v>0.88598032039847863</c:v>
                </c:pt>
                <c:pt idx="122">
                  <c:v>0.88509434007808019</c:v>
                </c:pt>
                <c:pt idx="123">
                  <c:v>0.88420924573800197</c:v>
                </c:pt>
                <c:pt idx="124">
                  <c:v>0.88332503649226402</c:v>
                </c:pt>
                <c:pt idx="125">
                  <c:v>0.88244171145577177</c:v>
                </c:pt>
                <c:pt idx="126">
                  <c:v>0.88155926974431598</c:v>
                </c:pt>
                <c:pt idx="127">
                  <c:v>0.88067771047457166</c:v>
                </c:pt>
                <c:pt idx="128">
                  <c:v>0.87979703276409715</c:v>
                </c:pt>
                <c:pt idx="129">
                  <c:v>0.87891723573133307</c:v>
                </c:pt>
                <c:pt idx="130">
                  <c:v>0.87803831849560177</c:v>
                </c:pt>
                <c:pt idx="131">
                  <c:v>0.87716028017710612</c:v>
                </c:pt>
                <c:pt idx="132">
                  <c:v>0.87628311989692909</c:v>
                </c:pt>
                <c:pt idx="133">
                  <c:v>0.87540683677703213</c:v>
                </c:pt>
                <c:pt idx="134">
                  <c:v>0.87453142994025512</c:v>
                </c:pt>
                <c:pt idx="135">
                  <c:v>0.87365689851031481</c:v>
                </c:pt>
                <c:pt idx="136">
                  <c:v>0.87278324161180454</c:v>
                </c:pt>
                <c:pt idx="137">
                  <c:v>0.87191045837019276</c:v>
                </c:pt>
                <c:pt idx="138">
                  <c:v>0.87103854791182256</c:v>
                </c:pt>
                <c:pt idx="139">
                  <c:v>0.87016750936391074</c:v>
                </c:pt>
                <c:pt idx="140">
                  <c:v>0.86929734185454688</c:v>
                </c:pt>
                <c:pt idx="141">
                  <c:v>0.86842804451269229</c:v>
                </c:pt>
                <c:pt idx="142">
                  <c:v>0.86755961646817958</c:v>
                </c:pt>
                <c:pt idx="143">
                  <c:v>0.86669205685171136</c:v>
                </c:pt>
                <c:pt idx="144">
                  <c:v>0.86582536479485972</c:v>
                </c:pt>
                <c:pt idx="145">
                  <c:v>0.86495953943006487</c:v>
                </c:pt>
                <c:pt idx="146">
                  <c:v>0.86409457989063487</c:v>
                </c:pt>
                <c:pt idx="147">
                  <c:v>0.8632304853107442</c:v>
                </c:pt>
                <c:pt idx="148">
                  <c:v>0.86236725482543342</c:v>
                </c:pt>
                <c:pt idx="149">
                  <c:v>0.86150488757060806</c:v>
                </c:pt>
                <c:pt idx="150">
                  <c:v>0.86064338268303753</c:v>
                </c:pt>
                <c:pt idx="151">
                  <c:v>0.85978273930035432</c:v>
                </c:pt>
                <c:pt idx="152">
                  <c:v>0.85892295656105411</c:v>
                </c:pt>
                <c:pt idx="153">
                  <c:v>0.85806403360449313</c:v>
                </c:pt>
                <c:pt idx="154">
                  <c:v>0.85720596957088857</c:v>
                </c:pt>
                <c:pt idx="155">
                  <c:v>0.85634876360131762</c:v>
                </c:pt>
                <c:pt idx="156">
                  <c:v>0.85549241483771632</c:v>
                </c:pt>
                <c:pt idx="157">
                  <c:v>0.85463692242287859</c:v>
                </c:pt>
                <c:pt idx="158">
                  <c:v>0.85378228550045576</c:v>
                </c:pt>
                <c:pt idx="159">
                  <c:v>0.85292850321495528</c:v>
                </c:pt>
                <c:pt idx="160">
                  <c:v>0.85207557471174034</c:v>
                </c:pt>
                <c:pt idx="161">
                  <c:v>0.85122349913702855</c:v>
                </c:pt>
                <c:pt idx="162">
                  <c:v>0.85037227563789164</c:v>
                </c:pt>
                <c:pt idx="163">
                  <c:v>0.84952190336225375</c:v>
                </c:pt>
                <c:pt idx="164">
                  <c:v>0.84867238145889146</c:v>
                </c:pt>
                <c:pt idx="165">
                  <c:v>0.84782370907743254</c:v>
                </c:pt>
                <c:pt idx="166">
                  <c:v>0.84697588536835522</c:v>
                </c:pt>
                <c:pt idx="167">
                  <c:v>0.8461289094829868</c:v>
                </c:pt>
                <c:pt idx="168">
                  <c:v>0.84528278057350381</c:v>
                </c:pt>
                <c:pt idx="169">
                  <c:v>0.84443749779293031</c:v>
                </c:pt>
                <c:pt idx="170">
                  <c:v>0.84359306029513748</c:v>
                </c:pt>
                <c:pt idx="171">
                  <c:v>0.84274946723484234</c:v>
                </c:pt>
                <c:pt idx="172">
                  <c:v>0.84190671776760739</c:v>
                </c:pt>
                <c:pt idx="173">
                  <c:v>0.84106481104983977</c:v>
                </c:pt>
                <c:pt idx="174">
                  <c:v>0.84022374623879004</c:v>
                </c:pt>
                <c:pt idx="175">
                  <c:v>0.8393835224925511</c:v>
                </c:pt>
                <c:pt idx="176">
                  <c:v>0.83854413897005875</c:v>
                </c:pt>
                <c:pt idx="177">
                  <c:v>0.83770559483108864</c:v>
                </c:pt>
                <c:pt idx="178">
                  <c:v>0.83686788923625754</c:v>
                </c:pt>
                <c:pt idx="179">
                  <c:v>0.83603102134702134</c:v>
                </c:pt>
                <c:pt idx="180">
                  <c:v>0.83519499032567424</c:v>
                </c:pt>
                <c:pt idx="181">
                  <c:v>0.83435979533534865</c:v>
                </c:pt>
                <c:pt idx="182">
                  <c:v>0.83352543554001335</c:v>
                </c:pt>
                <c:pt idx="183">
                  <c:v>0.83269191010447319</c:v>
                </c:pt>
                <c:pt idx="184">
                  <c:v>0.83185921819436892</c:v>
                </c:pt>
                <c:pt idx="185">
                  <c:v>0.83102735897617441</c:v>
                </c:pt>
                <c:pt idx="186">
                  <c:v>0.8301963316171983</c:v>
                </c:pt>
                <c:pt idx="187">
                  <c:v>0.82936613528558101</c:v>
                </c:pt>
                <c:pt idx="188">
                  <c:v>0.8285367691502955</c:v>
                </c:pt>
                <c:pt idx="189">
                  <c:v>0.82770823238114521</c:v>
                </c:pt>
                <c:pt idx="190">
                  <c:v>0.82688052414876401</c:v>
                </c:pt>
                <c:pt idx="191">
                  <c:v>0.8260536436246152</c:v>
                </c:pt>
                <c:pt idx="192">
                  <c:v>0.82522758998099066</c:v>
                </c:pt>
                <c:pt idx="193">
                  <c:v>0.82440236239100972</c:v>
                </c:pt>
                <c:pt idx="194">
                  <c:v>0.82357796002861872</c:v>
                </c:pt>
                <c:pt idx="195">
                  <c:v>0.82275438206858997</c:v>
                </c:pt>
                <c:pt idx="196">
                  <c:v>0.8219316276865215</c:v>
                </c:pt>
                <c:pt idx="197">
                  <c:v>0.82110969605883488</c:v>
                </c:pt>
                <c:pt idx="198">
                  <c:v>0.82028858636277624</c:v>
                </c:pt>
                <c:pt idx="199">
                  <c:v>0.81946829777641328</c:v>
                </c:pt>
                <c:pt idx="200">
                  <c:v>0.81864882947863693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0A4-4CF8-8DCE-5E60B3C23A31}"/>
            </c:ext>
          </c:extLst>
        </c:ser>
        <c:ser>
          <c:idx val="5"/>
          <c:order val="5"/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'Panel A - drift'!$A$8:$A$208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'Panel A - drift'!$G$8:$G$208</c:f>
              <c:numCache>
                <c:formatCode>0.0000</c:formatCode>
                <c:ptCount val="201"/>
                <c:pt idx="0">
                  <c:v>1</c:v>
                </c:pt>
                <c:pt idx="1">
                  <c:v>0.99950000000000006</c:v>
                </c:pt>
                <c:pt idx="2">
                  <c:v>0.99900025000000015</c:v>
                </c:pt>
                <c:pt idx="3">
                  <c:v>0.99850074987500015</c:v>
                </c:pt>
                <c:pt idx="4">
                  <c:v>0.99800149950006278</c:v>
                </c:pt>
                <c:pt idx="5">
                  <c:v>0.99750249875031283</c:v>
                </c:pt>
                <c:pt idx="6">
                  <c:v>0.99700374750093779</c:v>
                </c:pt>
                <c:pt idx="7">
                  <c:v>0.99650524562718723</c:v>
                </c:pt>
                <c:pt idx="8">
                  <c:v>0.99600699300437379</c:v>
                </c:pt>
                <c:pt idx="9">
                  <c:v>0.9955089895078717</c:v>
                </c:pt>
                <c:pt idx="10">
                  <c:v>0.99501123501311783</c:v>
                </c:pt>
                <c:pt idx="11">
                  <c:v>0.99451372939561122</c:v>
                </c:pt>
                <c:pt idx="12">
                  <c:v>0.99401647253091363</c:v>
                </c:pt>
                <c:pt idx="13">
                  <c:v>0.99351946429464821</c:v>
                </c:pt>
                <c:pt idx="14">
                  <c:v>0.99302270456250097</c:v>
                </c:pt>
                <c:pt idx="15">
                  <c:v>0.99252619321021962</c:v>
                </c:pt>
                <c:pt idx="16">
                  <c:v>0.99202993011361473</c:v>
                </c:pt>
                <c:pt idx="17">
                  <c:v>0.99153391514855793</c:v>
                </c:pt>
                <c:pt idx="18">
                  <c:v>0.99103814819098379</c:v>
                </c:pt>
                <c:pt idx="19">
                  <c:v>0.99054262911688828</c:v>
                </c:pt>
                <c:pt idx="20">
                  <c:v>0.99004735780233</c:v>
                </c:pt>
                <c:pt idx="21">
                  <c:v>0.98955233412342891</c:v>
                </c:pt>
                <c:pt idx="22">
                  <c:v>0.98905755795636729</c:v>
                </c:pt>
                <c:pt idx="23">
                  <c:v>0.98856302917738903</c:v>
                </c:pt>
                <c:pt idx="24">
                  <c:v>0.98806874766280051</c:v>
                </c:pt>
                <c:pt idx="25">
                  <c:v>0.98757471328896917</c:v>
                </c:pt>
                <c:pt idx="26">
                  <c:v>0.98708092593232477</c:v>
                </c:pt>
                <c:pt idx="27">
                  <c:v>0.98658738546935854</c:v>
                </c:pt>
                <c:pt idx="28">
                  <c:v>0.9860940917766241</c:v>
                </c:pt>
                <c:pt idx="29">
                  <c:v>0.98560104473073584</c:v>
                </c:pt>
                <c:pt idx="30">
                  <c:v>0.98510824420837051</c:v>
                </c:pt>
                <c:pt idx="31">
                  <c:v>0.98461569008626626</c:v>
                </c:pt>
                <c:pt idx="32">
                  <c:v>0.98412338224122331</c:v>
                </c:pt>
                <c:pt idx="33">
                  <c:v>0.98363132055010272</c:v>
                </c:pt>
                <c:pt idx="34">
                  <c:v>0.98313950488982782</c:v>
                </c:pt>
                <c:pt idx="35">
                  <c:v>0.98264793513738291</c:v>
                </c:pt>
                <c:pt idx="36">
                  <c:v>0.98215661116981434</c:v>
                </c:pt>
                <c:pt idx="37">
                  <c:v>0.98166553286422953</c:v>
                </c:pt>
                <c:pt idx="38">
                  <c:v>0.9811747000977975</c:v>
                </c:pt>
                <c:pt idx="39">
                  <c:v>0.98068411274774847</c:v>
                </c:pt>
                <c:pt idx="40">
                  <c:v>0.98019377069137481</c:v>
                </c:pt>
                <c:pt idx="41">
                  <c:v>0.97970367380602918</c:v>
                </c:pt>
                <c:pt idx="42">
                  <c:v>0.97921382196912621</c:v>
                </c:pt>
                <c:pt idx="43">
                  <c:v>0.97872421505814167</c:v>
                </c:pt>
                <c:pt idx="44">
                  <c:v>0.97823485295061274</c:v>
                </c:pt>
                <c:pt idx="45">
                  <c:v>0.97774573552413746</c:v>
                </c:pt>
                <c:pt idx="46">
                  <c:v>0.97725686265637546</c:v>
                </c:pt>
                <c:pt idx="47">
                  <c:v>0.97676823422504722</c:v>
                </c:pt>
                <c:pt idx="48">
                  <c:v>0.97627985010793494</c:v>
                </c:pt>
                <c:pt idx="49">
                  <c:v>0.97579171018288091</c:v>
                </c:pt>
                <c:pt idx="50">
                  <c:v>0.97530381432778968</c:v>
                </c:pt>
                <c:pt idx="51">
                  <c:v>0.97481616242062574</c:v>
                </c:pt>
                <c:pt idx="52">
                  <c:v>0.97432875433941557</c:v>
                </c:pt>
                <c:pt idx="53">
                  <c:v>0.9738415899622459</c:v>
                </c:pt>
                <c:pt idx="54">
                  <c:v>0.97335466916726487</c:v>
                </c:pt>
                <c:pt idx="55">
                  <c:v>0.97286799183268124</c:v>
                </c:pt>
                <c:pt idx="56">
                  <c:v>0.97238155783676505</c:v>
                </c:pt>
                <c:pt idx="57">
                  <c:v>0.97189536705784674</c:v>
                </c:pt>
                <c:pt idx="58">
                  <c:v>0.97140941937431791</c:v>
                </c:pt>
                <c:pt idx="59">
                  <c:v>0.97092371466463068</c:v>
                </c:pt>
                <c:pt idx="60">
                  <c:v>0.97043825280729856</c:v>
                </c:pt>
                <c:pt idx="61">
                  <c:v>0.96995303368089503</c:v>
                </c:pt>
                <c:pt idx="62">
                  <c:v>0.9694680571640546</c:v>
                </c:pt>
                <c:pt idx="63">
                  <c:v>0.96898332313547253</c:v>
                </c:pt>
                <c:pt idx="64">
                  <c:v>0.96849883147390492</c:v>
                </c:pt>
                <c:pt idx="65">
                  <c:v>0.96801458205816804</c:v>
                </c:pt>
                <c:pt idx="66">
                  <c:v>0.967530574767139</c:v>
                </c:pt>
                <c:pt idx="67">
                  <c:v>0.96704680947975541</c:v>
                </c:pt>
                <c:pt idx="68">
                  <c:v>0.96656328607501574</c:v>
                </c:pt>
                <c:pt idx="69">
                  <c:v>0.96608000443197828</c:v>
                </c:pt>
                <c:pt idx="70">
                  <c:v>0.96559696442976239</c:v>
                </c:pt>
                <c:pt idx="71">
                  <c:v>0.9651141659475474</c:v>
                </c:pt>
                <c:pt idx="72">
                  <c:v>0.96463160886457378</c:v>
                </c:pt>
                <c:pt idx="73">
                  <c:v>0.96414929306014163</c:v>
                </c:pt>
                <c:pt idx="74">
                  <c:v>0.96366721841361158</c:v>
                </c:pt>
                <c:pt idx="75">
                  <c:v>0.96318538480440474</c:v>
                </c:pt>
                <c:pt idx="76">
                  <c:v>0.96270379211200274</c:v>
                </c:pt>
                <c:pt idx="77">
                  <c:v>0.96222244021594683</c:v>
                </c:pt>
                <c:pt idx="78">
                  <c:v>0.96174132899583886</c:v>
                </c:pt>
                <c:pt idx="79">
                  <c:v>0.96126045833134088</c:v>
                </c:pt>
                <c:pt idx="80">
                  <c:v>0.96077982810217544</c:v>
                </c:pt>
                <c:pt idx="81">
                  <c:v>0.96029943818812435</c:v>
                </c:pt>
                <c:pt idx="82">
                  <c:v>0.95981928846903042</c:v>
                </c:pt>
                <c:pt idx="83">
                  <c:v>0.95933937882479592</c:v>
                </c:pt>
                <c:pt idx="84">
                  <c:v>0.95885970913538365</c:v>
                </c:pt>
                <c:pt idx="85">
                  <c:v>0.95838027928081604</c:v>
                </c:pt>
                <c:pt idx="86">
                  <c:v>0.95790108914117567</c:v>
                </c:pt>
                <c:pt idx="87">
                  <c:v>0.95742213859660508</c:v>
                </c:pt>
                <c:pt idx="88">
                  <c:v>0.95694342752730688</c:v>
                </c:pt>
                <c:pt idx="89">
                  <c:v>0.95646495581354329</c:v>
                </c:pt>
                <c:pt idx="90">
                  <c:v>0.95598672333563661</c:v>
                </c:pt>
                <c:pt idx="91">
                  <c:v>0.95550872997396874</c:v>
                </c:pt>
                <c:pt idx="92">
                  <c:v>0.95503097560898198</c:v>
                </c:pt>
                <c:pt idx="93">
                  <c:v>0.95455346012117759</c:v>
                </c:pt>
                <c:pt idx="94">
                  <c:v>0.95407618339111699</c:v>
                </c:pt>
                <c:pt idx="95">
                  <c:v>0.95359914529942136</c:v>
                </c:pt>
                <c:pt idx="96">
                  <c:v>0.9531223457267719</c:v>
                </c:pt>
                <c:pt idx="97">
                  <c:v>0.95264578455390847</c:v>
                </c:pt>
                <c:pt idx="98">
                  <c:v>0.95216946166163163</c:v>
                </c:pt>
                <c:pt idx="99">
                  <c:v>0.95169337693080092</c:v>
                </c:pt>
                <c:pt idx="100">
                  <c:v>0.95121753024233557</c:v>
                </c:pt>
                <c:pt idx="101">
                  <c:v>0.95074192147721448</c:v>
                </c:pt>
                <c:pt idx="102">
                  <c:v>0.95026655051647602</c:v>
                </c:pt>
                <c:pt idx="103">
                  <c:v>0.94979141724121763</c:v>
                </c:pt>
                <c:pt idx="104">
                  <c:v>0.94931652153259727</c:v>
                </c:pt>
                <c:pt idx="105">
                  <c:v>0.94884186327183095</c:v>
                </c:pt>
                <c:pt idx="106">
                  <c:v>0.9483674423401951</c:v>
                </c:pt>
                <c:pt idx="107">
                  <c:v>0.94789325861902507</c:v>
                </c:pt>
                <c:pt idx="108">
                  <c:v>0.94741931198971563</c:v>
                </c:pt>
                <c:pt idx="109">
                  <c:v>0.94694560233372083</c:v>
                </c:pt>
                <c:pt idx="110">
                  <c:v>0.946472129532554</c:v>
                </c:pt>
                <c:pt idx="111">
                  <c:v>0.94599889346778765</c:v>
                </c:pt>
                <c:pt idx="112">
                  <c:v>0.94552589402105403</c:v>
                </c:pt>
                <c:pt idx="113">
                  <c:v>0.94505313107404343</c:v>
                </c:pt>
                <c:pt idx="114">
                  <c:v>0.94458060450850667</c:v>
                </c:pt>
                <c:pt idx="115">
                  <c:v>0.9441083142062523</c:v>
                </c:pt>
                <c:pt idx="116">
                  <c:v>0.94363626004914936</c:v>
                </c:pt>
                <c:pt idx="117">
                  <c:v>0.94316444191912485</c:v>
                </c:pt>
                <c:pt idx="118">
                  <c:v>0.9426928596981653</c:v>
                </c:pt>
                <c:pt idx="119">
                  <c:v>0.94222151326831627</c:v>
                </c:pt>
                <c:pt idx="120">
                  <c:v>0.94175040251168229</c:v>
                </c:pt>
                <c:pt idx="121">
                  <c:v>0.94127952731042652</c:v>
                </c:pt>
                <c:pt idx="122">
                  <c:v>0.94080888754677139</c:v>
                </c:pt>
                <c:pt idx="123">
                  <c:v>0.94033848310299795</c:v>
                </c:pt>
                <c:pt idx="124">
                  <c:v>0.93986831386144654</c:v>
                </c:pt>
                <c:pt idx="125">
                  <c:v>0.93939837970451601</c:v>
                </c:pt>
                <c:pt idx="126">
                  <c:v>0.93892868051466372</c:v>
                </c:pt>
                <c:pt idx="127">
                  <c:v>0.93845921617440642</c:v>
                </c:pt>
                <c:pt idx="128">
                  <c:v>0.93798998656631927</c:v>
                </c:pt>
                <c:pt idx="129">
                  <c:v>0.93752099157303614</c:v>
                </c:pt>
                <c:pt idx="130">
                  <c:v>0.93705223107724978</c:v>
                </c:pt>
                <c:pt idx="131">
                  <c:v>0.93658370496171106</c:v>
                </c:pt>
                <c:pt idx="132">
                  <c:v>0.93611541310923041</c:v>
                </c:pt>
                <c:pt idx="133">
                  <c:v>0.93564735540267585</c:v>
                </c:pt>
                <c:pt idx="134">
                  <c:v>0.93517953172497459</c:v>
                </c:pt>
                <c:pt idx="135">
                  <c:v>0.934711941959112</c:v>
                </c:pt>
                <c:pt idx="136">
                  <c:v>0.93424458598813265</c:v>
                </c:pt>
                <c:pt idx="137">
                  <c:v>0.9337774636951387</c:v>
                </c:pt>
                <c:pt idx="138">
                  <c:v>0.93331057496329117</c:v>
                </c:pt>
                <c:pt idx="139">
                  <c:v>0.93284391967580949</c:v>
                </c:pt>
                <c:pt idx="140">
                  <c:v>0.93237749771597178</c:v>
                </c:pt>
                <c:pt idx="141">
                  <c:v>0.93191130896711383</c:v>
                </c:pt>
                <c:pt idx="142">
                  <c:v>0.93144535331263034</c:v>
                </c:pt>
                <c:pt idx="143">
                  <c:v>0.93097963063597389</c:v>
                </c:pt>
                <c:pt idx="144">
                  <c:v>0.93051414082065609</c:v>
                </c:pt>
                <c:pt idx="145">
                  <c:v>0.93004888375024575</c:v>
                </c:pt>
                <c:pt idx="146">
                  <c:v>0.92958385930837084</c:v>
                </c:pt>
                <c:pt idx="147">
                  <c:v>0.92911906737871663</c:v>
                </c:pt>
                <c:pt idx="148">
                  <c:v>0.92865450784502734</c:v>
                </c:pt>
                <c:pt idx="149">
                  <c:v>0.92819018059110492</c:v>
                </c:pt>
                <c:pt idx="150">
                  <c:v>0.92772608550080948</c:v>
                </c:pt>
                <c:pt idx="151">
                  <c:v>0.927262222458059</c:v>
                </c:pt>
                <c:pt idx="152">
                  <c:v>0.92679859134683018</c:v>
                </c:pt>
                <c:pt idx="153">
                  <c:v>0.92633519205115677</c:v>
                </c:pt>
                <c:pt idx="154">
                  <c:v>0.92587202445513128</c:v>
                </c:pt>
                <c:pt idx="155">
                  <c:v>0.9254090884429037</c:v>
                </c:pt>
                <c:pt idx="156">
                  <c:v>0.92494638389868244</c:v>
                </c:pt>
                <c:pt idx="157">
                  <c:v>0.92448391070673319</c:v>
                </c:pt>
                <c:pt idx="158">
                  <c:v>0.92402166875137981</c:v>
                </c:pt>
                <c:pt idx="159">
                  <c:v>0.92355965791700412</c:v>
                </c:pt>
                <c:pt idx="160">
                  <c:v>0.92309787808804578</c:v>
                </c:pt>
                <c:pt idx="161">
                  <c:v>0.92263632914900173</c:v>
                </c:pt>
                <c:pt idx="162">
                  <c:v>0.92217501098442733</c:v>
                </c:pt>
                <c:pt idx="163">
                  <c:v>0.92171392347893522</c:v>
                </c:pt>
                <c:pt idx="164">
                  <c:v>0.92125306651719585</c:v>
                </c:pt>
                <c:pt idx="165">
                  <c:v>0.92079243998393734</c:v>
                </c:pt>
                <c:pt idx="166">
                  <c:v>0.9203320437639454</c:v>
                </c:pt>
                <c:pt idx="167">
                  <c:v>0.91987187774206336</c:v>
                </c:pt>
                <c:pt idx="168">
                  <c:v>0.91941194180319252</c:v>
                </c:pt>
                <c:pt idx="169">
                  <c:v>0.91895223583229091</c:v>
                </c:pt>
                <c:pt idx="170">
                  <c:v>0.91849275971437483</c:v>
                </c:pt>
                <c:pt idx="171">
                  <c:v>0.91803351333451766</c:v>
                </c:pt>
                <c:pt idx="172">
                  <c:v>0.91757449657785051</c:v>
                </c:pt>
                <c:pt idx="173">
                  <c:v>0.91711570932956166</c:v>
                </c:pt>
                <c:pt idx="174">
                  <c:v>0.9166571514748969</c:v>
                </c:pt>
                <c:pt idx="175">
                  <c:v>0.91619882289915944</c:v>
                </c:pt>
                <c:pt idx="176">
                  <c:v>0.91574072348771007</c:v>
                </c:pt>
                <c:pt idx="177">
                  <c:v>0.91528285312596613</c:v>
                </c:pt>
                <c:pt idx="178">
                  <c:v>0.91482521169940334</c:v>
                </c:pt>
                <c:pt idx="179">
                  <c:v>0.91436779909355359</c:v>
                </c:pt>
                <c:pt idx="180">
                  <c:v>0.91391061519400696</c:v>
                </c:pt>
                <c:pt idx="181">
                  <c:v>0.91345365988641003</c:v>
                </c:pt>
                <c:pt idx="182">
                  <c:v>0.9129969330564669</c:v>
                </c:pt>
                <c:pt idx="183">
                  <c:v>0.91254043458993872</c:v>
                </c:pt>
                <c:pt idx="184">
                  <c:v>0.91208416437264384</c:v>
                </c:pt>
                <c:pt idx="185">
                  <c:v>0.91162812229045764</c:v>
                </c:pt>
                <c:pt idx="186">
                  <c:v>0.9111723082293125</c:v>
                </c:pt>
                <c:pt idx="187">
                  <c:v>0.91071672207519772</c:v>
                </c:pt>
                <c:pt idx="188">
                  <c:v>0.91026136371416033</c:v>
                </c:pt>
                <c:pt idx="189">
                  <c:v>0.90980623303230335</c:v>
                </c:pt>
                <c:pt idx="190">
                  <c:v>0.90935132991578727</c:v>
                </c:pt>
                <c:pt idx="191">
                  <c:v>0.90889665425082933</c:v>
                </c:pt>
                <c:pt idx="192">
                  <c:v>0.90844220592370395</c:v>
                </c:pt>
                <c:pt idx="193">
                  <c:v>0.90798798482074217</c:v>
                </c:pt>
                <c:pt idx="194">
                  <c:v>0.90753399082833186</c:v>
                </c:pt>
                <c:pt idx="195">
                  <c:v>0.90708022383291764</c:v>
                </c:pt>
                <c:pt idx="196">
                  <c:v>0.90662668372100141</c:v>
                </c:pt>
                <c:pt idx="197">
                  <c:v>0.90617337037914092</c:v>
                </c:pt>
                <c:pt idx="198">
                  <c:v>0.90572028369395152</c:v>
                </c:pt>
                <c:pt idx="199">
                  <c:v>0.90526742355210443</c:v>
                </c:pt>
                <c:pt idx="200">
                  <c:v>0.90481478984032848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0A4-4CF8-8DCE-5E60B3C23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114656"/>
        <c:axId val="240348240"/>
      </c:scatterChart>
      <c:valAx>
        <c:axId val="240114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40348240"/>
        <c:crosses val="autoZero"/>
        <c:crossBetween val="midCat"/>
      </c:valAx>
      <c:valAx>
        <c:axId val="240348240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Heterozygosity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4011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442631</xdr:colOff>
      <xdr:row>14</xdr:row>
      <xdr:rowOff>90768</xdr:rowOff>
    </xdr:from>
    <xdr:to>
      <xdr:col>16</xdr:col>
      <xdr:colOff>173690</xdr:colOff>
      <xdr:row>29</xdr:row>
      <xdr:rowOff>144556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BA18FF-74C3-15EF-4C5A-A6B761954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1"/>
  <sheetViews>
    <sheetView showGridLines="0" tabSelected="1" zoomScale="85" zoomScaleNormal="85" workbookViewId="0">
      <pane ySplit="7" topLeftCell="A8" activePane="bottomLeft" state="frozen"/>
      <selection pane="bottomLeft" activeCell="G7" sqref="G7"/>
    </sheetView>
  </sheetViews>
  <sheetFormatPr defaultColWidth="8.6328125" defaultRowHeight="14.5" x14ac:dyDescent="0.35"/>
  <cols>
    <col min="1" max="1" width="30" customWidth="1"/>
    <col min="2" max="7" width="12" customWidth="1"/>
  </cols>
  <sheetData>
    <row r="1" spans="1:7" ht="15.5" x14ac:dyDescent="0.35">
      <c r="A1" s="1" t="s">
        <v>0</v>
      </c>
    </row>
    <row r="2" spans="1:7" x14ac:dyDescent="0.35">
      <c r="A2" s="2" t="s">
        <v>1</v>
      </c>
    </row>
    <row r="4" spans="1:7" x14ac:dyDescent="0.35">
      <c r="A4" s="3" t="s">
        <v>2</v>
      </c>
      <c r="B4" s="4">
        <v>1</v>
      </c>
      <c r="C4" s="2" t="s">
        <v>3</v>
      </c>
    </row>
    <row r="6" spans="1:7" x14ac:dyDescent="0.35">
      <c r="A6" s="3" t="s">
        <v>4</v>
      </c>
      <c r="B6" s="4">
        <v>2</v>
      </c>
      <c r="C6" s="4">
        <v>10</v>
      </c>
      <c r="D6" s="4">
        <v>50</v>
      </c>
      <c r="E6" s="4">
        <v>100</v>
      </c>
      <c r="F6" s="4">
        <v>500</v>
      </c>
      <c r="G6" s="4">
        <v>1000</v>
      </c>
    </row>
    <row r="7" spans="1:7" x14ac:dyDescent="0.35">
      <c r="A7" s="5" t="s">
        <v>5</v>
      </c>
      <c r="B7" s="6" t="str">
        <f t="shared" ref="B7:G7" si="0">"Ne = "&amp;B6</f>
        <v>Ne = 2</v>
      </c>
      <c r="C7" s="6" t="str">
        <f t="shared" si="0"/>
        <v>Ne = 10</v>
      </c>
      <c r="D7" s="6" t="str">
        <f t="shared" si="0"/>
        <v>Ne = 50</v>
      </c>
      <c r="E7" s="6" t="str">
        <f t="shared" si="0"/>
        <v>Ne = 100</v>
      </c>
      <c r="F7" s="6" t="str">
        <f t="shared" si="0"/>
        <v>Ne = 500</v>
      </c>
      <c r="G7" s="6" t="str">
        <f t="shared" si="0"/>
        <v>Ne = 1000</v>
      </c>
    </row>
    <row r="8" spans="1:7" x14ac:dyDescent="0.35">
      <c r="A8" s="7">
        <v>0</v>
      </c>
      <c r="B8" s="8">
        <f t="shared" ref="B8:G17" si="1">$B$4*(1-1/(2*B$6))^$A8</f>
        <v>1</v>
      </c>
      <c r="C8" s="8">
        <f t="shared" si="1"/>
        <v>1</v>
      </c>
      <c r="D8" s="8">
        <f t="shared" si="1"/>
        <v>1</v>
      </c>
      <c r="E8" s="8">
        <f t="shared" si="1"/>
        <v>1</v>
      </c>
      <c r="F8" s="8">
        <f t="shared" si="1"/>
        <v>1</v>
      </c>
      <c r="G8" s="8">
        <f t="shared" si="1"/>
        <v>1</v>
      </c>
    </row>
    <row r="9" spans="1:7" x14ac:dyDescent="0.35">
      <c r="A9" s="7">
        <v>1</v>
      </c>
      <c r="B9" s="8">
        <f t="shared" si="1"/>
        <v>0.75</v>
      </c>
      <c r="C9" s="8">
        <f t="shared" si="1"/>
        <v>0.95</v>
      </c>
      <c r="D9" s="8">
        <f t="shared" si="1"/>
        <v>0.99</v>
      </c>
      <c r="E9" s="8">
        <f t="shared" si="1"/>
        <v>0.995</v>
      </c>
      <c r="F9" s="8">
        <f t="shared" si="1"/>
        <v>0.999</v>
      </c>
      <c r="G9" s="8">
        <f t="shared" si="1"/>
        <v>0.99950000000000006</v>
      </c>
    </row>
    <row r="10" spans="1:7" x14ac:dyDescent="0.35">
      <c r="A10" s="7">
        <v>2</v>
      </c>
      <c r="B10" s="8">
        <f t="shared" si="1"/>
        <v>0.5625</v>
      </c>
      <c r="C10" s="8">
        <f t="shared" si="1"/>
        <v>0.90249999999999997</v>
      </c>
      <c r="D10" s="8">
        <f t="shared" si="1"/>
        <v>0.98009999999999997</v>
      </c>
      <c r="E10" s="8">
        <f t="shared" si="1"/>
        <v>0.99002500000000004</v>
      </c>
      <c r="F10" s="8">
        <f t="shared" si="1"/>
        <v>0.99800100000000003</v>
      </c>
      <c r="G10" s="8">
        <f t="shared" si="1"/>
        <v>0.99900025000000015</v>
      </c>
    </row>
    <row r="11" spans="1:7" x14ac:dyDescent="0.35">
      <c r="A11" s="7">
        <v>3</v>
      </c>
      <c r="B11" s="8">
        <f t="shared" si="1"/>
        <v>0.421875</v>
      </c>
      <c r="C11" s="8">
        <f t="shared" si="1"/>
        <v>0.85737499999999989</v>
      </c>
      <c r="D11" s="8">
        <f t="shared" si="1"/>
        <v>0.97029899999999991</v>
      </c>
      <c r="E11" s="8">
        <f t="shared" si="1"/>
        <v>0.98507487500000002</v>
      </c>
      <c r="F11" s="8">
        <f t="shared" si="1"/>
        <v>0.997002999</v>
      </c>
      <c r="G11" s="8">
        <f t="shared" si="1"/>
        <v>0.99850074987500015</v>
      </c>
    </row>
    <row r="12" spans="1:7" x14ac:dyDescent="0.35">
      <c r="A12" s="7">
        <v>4</v>
      </c>
      <c r="B12" s="8">
        <f t="shared" si="1"/>
        <v>0.31640625</v>
      </c>
      <c r="C12" s="8">
        <f t="shared" si="1"/>
        <v>0.81450624999999999</v>
      </c>
      <c r="D12" s="8">
        <f t="shared" si="1"/>
        <v>0.96059600999999994</v>
      </c>
      <c r="E12" s="8">
        <f t="shared" si="1"/>
        <v>0.98014950062500006</v>
      </c>
      <c r="F12" s="8">
        <f t="shared" si="1"/>
        <v>0.99600599600100004</v>
      </c>
      <c r="G12" s="8">
        <f t="shared" si="1"/>
        <v>0.99800149950006278</v>
      </c>
    </row>
    <row r="13" spans="1:7" x14ac:dyDescent="0.35">
      <c r="A13" s="7">
        <v>5</v>
      </c>
      <c r="B13" s="8">
        <f t="shared" si="1"/>
        <v>0.2373046875</v>
      </c>
      <c r="C13" s="8">
        <f t="shared" si="1"/>
        <v>0.77378093749999999</v>
      </c>
      <c r="D13" s="8">
        <f t="shared" si="1"/>
        <v>0.95099004989999991</v>
      </c>
      <c r="E13" s="8">
        <f t="shared" si="1"/>
        <v>0.97524875312187509</v>
      </c>
      <c r="F13" s="8">
        <f t="shared" si="1"/>
        <v>0.99500999000499901</v>
      </c>
      <c r="G13" s="8">
        <f t="shared" si="1"/>
        <v>0.99750249875031283</v>
      </c>
    </row>
    <row r="14" spans="1:7" x14ac:dyDescent="0.35">
      <c r="A14" s="7">
        <v>6</v>
      </c>
      <c r="B14" s="8">
        <f t="shared" si="1"/>
        <v>0.177978515625</v>
      </c>
      <c r="C14" s="8">
        <f t="shared" si="1"/>
        <v>0.73509189062499991</v>
      </c>
      <c r="D14" s="8">
        <f t="shared" si="1"/>
        <v>0.94148014940099989</v>
      </c>
      <c r="E14" s="8">
        <f t="shared" si="1"/>
        <v>0.97037250935626573</v>
      </c>
      <c r="F14" s="8">
        <f t="shared" si="1"/>
        <v>0.99401498001499411</v>
      </c>
      <c r="G14" s="8">
        <f t="shared" si="1"/>
        <v>0.99700374750093779</v>
      </c>
    </row>
    <row r="15" spans="1:7" x14ac:dyDescent="0.35">
      <c r="A15" s="7">
        <v>7</v>
      </c>
      <c r="B15" s="8">
        <f t="shared" si="1"/>
        <v>0.13348388671875</v>
      </c>
      <c r="C15" s="8">
        <f t="shared" si="1"/>
        <v>0.69833729609374995</v>
      </c>
      <c r="D15" s="8">
        <f t="shared" si="1"/>
        <v>0.93206534790698992</v>
      </c>
      <c r="E15" s="8">
        <f t="shared" si="1"/>
        <v>0.96552064680948435</v>
      </c>
      <c r="F15" s="8">
        <f t="shared" si="1"/>
        <v>0.99302096503497905</v>
      </c>
      <c r="G15" s="8">
        <f t="shared" si="1"/>
        <v>0.99650524562718723</v>
      </c>
    </row>
    <row r="16" spans="1:7" x14ac:dyDescent="0.35">
      <c r="A16" s="7">
        <v>8</v>
      </c>
      <c r="B16" s="8">
        <f t="shared" si="1"/>
        <v>0.1001129150390625</v>
      </c>
      <c r="C16" s="8">
        <f t="shared" si="1"/>
        <v>0.66342043128906247</v>
      </c>
      <c r="D16" s="8">
        <f t="shared" si="1"/>
        <v>0.92274469442791995</v>
      </c>
      <c r="E16" s="8">
        <f t="shared" si="1"/>
        <v>0.96069304357543694</v>
      </c>
      <c r="F16" s="8">
        <f t="shared" si="1"/>
        <v>0.9920279440699441</v>
      </c>
      <c r="G16" s="8">
        <f t="shared" si="1"/>
        <v>0.99600699300437379</v>
      </c>
    </row>
    <row r="17" spans="1:7" x14ac:dyDescent="0.35">
      <c r="A17" s="7">
        <v>9</v>
      </c>
      <c r="B17" s="8">
        <f t="shared" si="1"/>
        <v>7.5084686279296875E-2</v>
      </c>
      <c r="C17" s="8">
        <f t="shared" si="1"/>
        <v>0.6302494097246093</v>
      </c>
      <c r="D17" s="8">
        <f t="shared" si="1"/>
        <v>0.91351724748364072</v>
      </c>
      <c r="E17" s="8">
        <f t="shared" si="1"/>
        <v>0.95588957835755972</v>
      </c>
      <c r="F17" s="8">
        <f t="shared" si="1"/>
        <v>0.99103591612587416</v>
      </c>
      <c r="G17" s="8">
        <f t="shared" si="1"/>
        <v>0.9955089895078717</v>
      </c>
    </row>
    <row r="18" spans="1:7" x14ac:dyDescent="0.35">
      <c r="A18" s="7">
        <v>10</v>
      </c>
      <c r="B18" s="8">
        <f t="shared" ref="B18:G27" si="2">$B$4*(1-1/(2*B$6))^$A18</f>
        <v>5.6313514709472656E-2</v>
      </c>
      <c r="C18" s="8">
        <f t="shared" si="2"/>
        <v>0.5987369392383789</v>
      </c>
      <c r="D18" s="8">
        <f t="shared" si="2"/>
        <v>0.9043820750088043</v>
      </c>
      <c r="E18" s="8">
        <f t="shared" si="2"/>
        <v>0.95111013046577197</v>
      </c>
      <c r="F18" s="8">
        <f t="shared" si="2"/>
        <v>0.99004488020974835</v>
      </c>
      <c r="G18" s="8">
        <f t="shared" si="2"/>
        <v>0.99501123501311783</v>
      </c>
    </row>
    <row r="19" spans="1:7" x14ac:dyDescent="0.35">
      <c r="A19" s="7">
        <v>11</v>
      </c>
      <c r="B19" s="8">
        <f t="shared" si="2"/>
        <v>4.2235136032104492E-2</v>
      </c>
      <c r="C19" s="8">
        <f t="shared" si="2"/>
        <v>0.56880009227645989</v>
      </c>
      <c r="D19" s="8">
        <f t="shared" si="2"/>
        <v>0.89533825425871627</v>
      </c>
      <c r="E19" s="8">
        <f t="shared" si="2"/>
        <v>0.94635457981344306</v>
      </c>
      <c r="F19" s="8">
        <f t="shared" si="2"/>
        <v>0.98905483532953853</v>
      </c>
      <c r="G19" s="8">
        <f t="shared" si="2"/>
        <v>0.99451372939561122</v>
      </c>
    </row>
    <row r="20" spans="1:7" x14ac:dyDescent="0.35">
      <c r="A20" s="7">
        <v>12</v>
      </c>
      <c r="B20" s="8">
        <f t="shared" si="2"/>
        <v>3.1676352024078369E-2</v>
      </c>
      <c r="C20" s="8">
        <f t="shared" si="2"/>
        <v>0.54036008766263688</v>
      </c>
      <c r="D20" s="8">
        <f t="shared" si="2"/>
        <v>0.88638487171612912</v>
      </c>
      <c r="E20" s="8">
        <f t="shared" si="2"/>
        <v>0.94162280691437594</v>
      </c>
      <c r="F20" s="8">
        <f t="shared" si="2"/>
        <v>0.98806578049420901</v>
      </c>
      <c r="G20" s="8">
        <f t="shared" si="2"/>
        <v>0.99401647253091363</v>
      </c>
    </row>
    <row r="21" spans="1:7" x14ac:dyDescent="0.35">
      <c r="A21" s="7">
        <v>13</v>
      </c>
      <c r="B21" s="8">
        <f t="shared" si="2"/>
        <v>2.3757264018058777E-2</v>
      </c>
      <c r="C21" s="8">
        <f t="shared" si="2"/>
        <v>0.51334208327950503</v>
      </c>
      <c r="D21" s="8">
        <f t="shared" si="2"/>
        <v>0.87752102299896773</v>
      </c>
      <c r="E21" s="8">
        <f t="shared" si="2"/>
        <v>0.93691469287980411</v>
      </c>
      <c r="F21" s="8">
        <f t="shared" si="2"/>
        <v>0.98707771471371475</v>
      </c>
      <c r="G21" s="8">
        <f t="shared" si="2"/>
        <v>0.99351946429464821</v>
      </c>
    </row>
    <row r="22" spans="1:7" x14ac:dyDescent="0.35">
      <c r="A22" s="7">
        <v>14</v>
      </c>
      <c r="B22" s="8">
        <f t="shared" si="2"/>
        <v>1.7817948013544083E-2</v>
      </c>
      <c r="C22" s="8">
        <f t="shared" si="2"/>
        <v>0.48767497911552976</v>
      </c>
      <c r="D22" s="8">
        <f t="shared" si="2"/>
        <v>0.86874581276897811</v>
      </c>
      <c r="E22" s="8">
        <f t="shared" si="2"/>
        <v>0.93223011941540512</v>
      </c>
      <c r="F22" s="8">
        <f t="shared" si="2"/>
        <v>0.98609063699900112</v>
      </c>
      <c r="G22" s="8">
        <f t="shared" si="2"/>
        <v>0.99302270456250097</v>
      </c>
    </row>
    <row r="23" spans="1:7" x14ac:dyDescent="0.35">
      <c r="A23" s="7">
        <v>15</v>
      </c>
      <c r="B23" s="8">
        <f t="shared" si="2"/>
        <v>1.3363461010158062E-2</v>
      </c>
      <c r="C23" s="8">
        <f t="shared" si="2"/>
        <v>0.46329123015975332</v>
      </c>
      <c r="D23" s="8">
        <f t="shared" si="2"/>
        <v>0.86005835464128833</v>
      </c>
      <c r="E23" s="8">
        <f t="shared" si="2"/>
        <v>0.92756896881832807</v>
      </c>
      <c r="F23" s="8">
        <f t="shared" si="2"/>
        <v>0.98510454636200206</v>
      </c>
      <c r="G23" s="8">
        <f t="shared" si="2"/>
        <v>0.99252619321021962</v>
      </c>
    </row>
    <row r="24" spans="1:7" x14ac:dyDescent="0.35">
      <c r="A24" s="7">
        <v>16</v>
      </c>
      <c r="B24" s="8">
        <f t="shared" si="2"/>
        <v>1.0022595757618546E-2</v>
      </c>
      <c r="C24" s="8">
        <f t="shared" si="2"/>
        <v>0.44012666865176564</v>
      </c>
      <c r="D24" s="8">
        <f t="shared" si="2"/>
        <v>0.85145777109487542</v>
      </c>
      <c r="E24" s="8">
        <f t="shared" si="2"/>
        <v>0.92293112397423638</v>
      </c>
      <c r="F24" s="8">
        <f t="shared" si="2"/>
        <v>0.98411944181564015</v>
      </c>
      <c r="G24" s="8">
        <f t="shared" si="2"/>
        <v>0.99202993011361473</v>
      </c>
    </row>
    <row r="25" spans="1:7" x14ac:dyDescent="0.35">
      <c r="A25" s="7">
        <v>17</v>
      </c>
      <c r="B25" s="8">
        <f t="shared" si="2"/>
        <v>7.5169468182139099E-3</v>
      </c>
      <c r="C25" s="8">
        <f t="shared" si="2"/>
        <v>0.41812033521917735</v>
      </c>
      <c r="D25" s="8">
        <f t="shared" si="2"/>
        <v>0.84294319338392665</v>
      </c>
      <c r="E25" s="8">
        <f t="shared" si="2"/>
        <v>0.9183164683543652</v>
      </c>
      <c r="F25" s="8">
        <f t="shared" si="2"/>
        <v>0.98313532237382451</v>
      </c>
      <c r="G25" s="8">
        <f t="shared" si="2"/>
        <v>0.99153391514855793</v>
      </c>
    </row>
    <row r="26" spans="1:7" x14ac:dyDescent="0.35">
      <c r="A26" s="7">
        <v>18</v>
      </c>
      <c r="B26" s="8">
        <f t="shared" si="2"/>
        <v>5.6377101136604324E-3</v>
      </c>
      <c r="C26" s="8">
        <f t="shared" si="2"/>
        <v>0.39721431845821847</v>
      </c>
      <c r="D26" s="8">
        <f t="shared" si="2"/>
        <v>0.83451376145008738</v>
      </c>
      <c r="E26" s="8">
        <f t="shared" si="2"/>
        <v>0.91372488601259338</v>
      </c>
      <c r="F26" s="8">
        <f t="shared" si="2"/>
        <v>0.98215218705145069</v>
      </c>
      <c r="G26" s="8">
        <f t="shared" si="2"/>
        <v>0.99103814819098379</v>
      </c>
    </row>
    <row r="27" spans="1:7" x14ac:dyDescent="0.35">
      <c r="A27" s="7">
        <v>19</v>
      </c>
      <c r="B27" s="8">
        <f t="shared" si="2"/>
        <v>4.2282825852453243E-3</v>
      </c>
      <c r="C27" s="8">
        <f t="shared" si="2"/>
        <v>0.37735360253530753</v>
      </c>
      <c r="D27" s="8">
        <f t="shared" si="2"/>
        <v>0.82616862383558642</v>
      </c>
      <c r="E27" s="8">
        <f t="shared" si="2"/>
        <v>0.90915626158253038</v>
      </c>
      <c r="F27" s="8">
        <f t="shared" si="2"/>
        <v>0.98117003486439924</v>
      </c>
      <c r="G27" s="8">
        <f t="shared" si="2"/>
        <v>0.99054262911688828</v>
      </c>
    </row>
    <row r="28" spans="1:7" x14ac:dyDescent="0.35">
      <c r="A28" s="7">
        <v>20</v>
      </c>
      <c r="B28" s="8">
        <f t="shared" ref="B28:G37" si="3">$B$4*(1-1/(2*B$6))^$A28</f>
        <v>3.1712119389339932E-3</v>
      </c>
      <c r="C28" s="8">
        <f t="shared" si="3"/>
        <v>0.35848592240854216</v>
      </c>
      <c r="D28" s="8">
        <f t="shared" si="3"/>
        <v>0.81790693759723065</v>
      </c>
      <c r="E28" s="8">
        <f t="shared" si="3"/>
        <v>0.90461048027461777</v>
      </c>
      <c r="F28" s="8">
        <f t="shared" si="3"/>
        <v>0.98018886482953482</v>
      </c>
      <c r="G28" s="8">
        <f t="shared" si="3"/>
        <v>0.99004735780233</v>
      </c>
    </row>
    <row r="29" spans="1:7" x14ac:dyDescent="0.35">
      <c r="A29" s="7">
        <v>21</v>
      </c>
      <c r="B29" s="8">
        <f t="shared" si="3"/>
        <v>2.3784089542004949E-3</v>
      </c>
      <c r="C29" s="8">
        <f t="shared" si="3"/>
        <v>0.34056162628811509</v>
      </c>
      <c r="D29" s="8">
        <f t="shared" si="3"/>
        <v>0.80972786822125831</v>
      </c>
      <c r="E29" s="8">
        <f t="shared" si="3"/>
        <v>0.90008742787324469</v>
      </c>
      <c r="F29" s="8">
        <f t="shared" si="3"/>
        <v>0.97920867596470529</v>
      </c>
      <c r="G29" s="8">
        <f t="shared" si="3"/>
        <v>0.98955233412342891</v>
      </c>
    </row>
    <row r="30" spans="1:7" x14ac:dyDescent="0.35">
      <c r="A30" s="7">
        <v>22</v>
      </c>
      <c r="B30" s="8">
        <f t="shared" si="3"/>
        <v>1.7838067156503712E-3</v>
      </c>
      <c r="C30" s="8">
        <f t="shared" si="3"/>
        <v>0.32353354497370929</v>
      </c>
      <c r="D30" s="8">
        <f t="shared" si="3"/>
        <v>0.80163058953904565</v>
      </c>
      <c r="E30" s="8">
        <f t="shared" si="3"/>
        <v>0.89558699073387849</v>
      </c>
      <c r="F30" s="8">
        <f t="shared" si="3"/>
        <v>0.97822946728874072</v>
      </c>
      <c r="G30" s="8">
        <f t="shared" si="3"/>
        <v>0.98905755795636729</v>
      </c>
    </row>
    <row r="31" spans="1:7" x14ac:dyDescent="0.35">
      <c r="A31" s="7">
        <v>23</v>
      </c>
      <c r="B31" s="8">
        <f t="shared" si="3"/>
        <v>1.3378550367377784E-3</v>
      </c>
      <c r="C31" s="8">
        <f t="shared" si="3"/>
        <v>0.30735686772502385</v>
      </c>
      <c r="D31" s="8">
        <f t="shared" si="3"/>
        <v>0.79361428364365527</v>
      </c>
      <c r="E31" s="8">
        <f t="shared" si="3"/>
        <v>0.89110905578020905</v>
      </c>
      <c r="F31" s="8">
        <f t="shared" si="3"/>
        <v>0.97725123782145185</v>
      </c>
      <c r="G31" s="8">
        <f t="shared" si="3"/>
        <v>0.98856302917738903</v>
      </c>
    </row>
    <row r="32" spans="1:7" x14ac:dyDescent="0.35">
      <c r="A32" s="7">
        <v>24</v>
      </c>
      <c r="B32" s="8">
        <f t="shared" si="3"/>
        <v>1.0033912775533338E-3</v>
      </c>
      <c r="C32" s="8">
        <f t="shared" si="3"/>
        <v>0.29198902433877266</v>
      </c>
      <c r="D32" s="8">
        <f t="shared" si="3"/>
        <v>0.78567814080721865</v>
      </c>
      <c r="E32" s="8">
        <f t="shared" si="3"/>
        <v>0.88665351050130803</v>
      </c>
      <c r="F32" s="8">
        <f t="shared" si="3"/>
        <v>0.97627398658363052</v>
      </c>
      <c r="G32" s="8">
        <f t="shared" si="3"/>
        <v>0.98806874766280051</v>
      </c>
    </row>
    <row r="33" spans="1:7" x14ac:dyDescent="0.35">
      <c r="A33" s="7">
        <v>25</v>
      </c>
      <c r="B33" s="8">
        <f t="shared" si="3"/>
        <v>7.5254345816500035E-4</v>
      </c>
      <c r="C33" s="8">
        <f t="shared" si="3"/>
        <v>0.27738957312183399</v>
      </c>
      <c r="D33" s="8">
        <f t="shared" si="3"/>
        <v>0.77782135939914643</v>
      </c>
      <c r="E33" s="8">
        <f t="shared" si="3"/>
        <v>0.88222024294880153</v>
      </c>
      <c r="F33" s="8">
        <f t="shared" si="3"/>
        <v>0.9752977125970469</v>
      </c>
      <c r="G33" s="8">
        <f t="shared" si="3"/>
        <v>0.98757471328896917</v>
      </c>
    </row>
    <row r="34" spans="1:7" x14ac:dyDescent="0.35">
      <c r="A34" s="7">
        <v>26</v>
      </c>
      <c r="B34" s="8">
        <f t="shared" si="3"/>
        <v>5.6440759362375026E-4</v>
      </c>
      <c r="C34" s="8">
        <f t="shared" si="3"/>
        <v>0.26352009446574232</v>
      </c>
      <c r="D34" s="8">
        <f t="shared" si="3"/>
        <v>0.77004314580515498</v>
      </c>
      <c r="E34" s="8">
        <f t="shared" si="3"/>
        <v>0.87780914173405755</v>
      </c>
      <c r="F34" s="8">
        <f t="shared" si="3"/>
        <v>0.97432241488444982</v>
      </c>
      <c r="G34" s="8">
        <f t="shared" si="3"/>
        <v>0.98708092593232477</v>
      </c>
    </row>
    <row r="35" spans="1:7" x14ac:dyDescent="0.35">
      <c r="A35" s="7">
        <v>27</v>
      </c>
      <c r="B35" s="8">
        <f t="shared" si="3"/>
        <v>4.2330569521781269E-4</v>
      </c>
      <c r="C35" s="8">
        <f t="shared" si="3"/>
        <v>0.2503440897424552</v>
      </c>
      <c r="D35" s="8">
        <f t="shared" si="3"/>
        <v>0.76234271434710343</v>
      </c>
      <c r="E35" s="8">
        <f t="shared" si="3"/>
        <v>0.87342009602538717</v>
      </c>
      <c r="F35" s="8">
        <f t="shared" si="3"/>
        <v>0.97334809246956533</v>
      </c>
      <c r="G35" s="8">
        <f t="shared" si="3"/>
        <v>0.98658738546935854</v>
      </c>
    </row>
    <row r="36" spans="1:7" x14ac:dyDescent="0.35">
      <c r="A36" s="7">
        <v>28</v>
      </c>
      <c r="B36" s="8">
        <f t="shared" si="3"/>
        <v>3.1747927141335952E-4</v>
      </c>
      <c r="C36" s="8">
        <f t="shared" si="3"/>
        <v>0.23782688525533241</v>
      </c>
      <c r="D36" s="8">
        <f t="shared" si="3"/>
        <v>0.75471928720363235</v>
      </c>
      <c r="E36" s="8">
        <f t="shared" si="3"/>
        <v>0.86905299554526039</v>
      </c>
      <c r="F36" s="8">
        <f t="shared" si="3"/>
        <v>0.97237474437709581</v>
      </c>
      <c r="G36" s="8">
        <f t="shared" si="3"/>
        <v>0.9860940917766241</v>
      </c>
    </row>
    <row r="37" spans="1:7" x14ac:dyDescent="0.35">
      <c r="A37" s="7">
        <v>29</v>
      </c>
      <c r="B37" s="8">
        <f t="shared" si="3"/>
        <v>2.3810945356001964E-4</v>
      </c>
      <c r="C37" s="8">
        <f t="shared" si="3"/>
        <v>0.2259355409925658</v>
      </c>
      <c r="D37" s="8">
        <f t="shared" si="3"/>
        <v>0.74717209433159593</v>
      </c>
      <c r="E37" s="8">
        <f t="shared" si="3"/>
        <v>0.86470773056753414</v>
      </c>
      <c r="F37" s="8">
        <f t="shared" si="3"/>
        <v>0.97140236963271864</v>
      </c>
      <c r="G37" s="8">
        <f t="shared" si="3"/>
        <v>0.98560104473073584</v>
      </c>
    </row>
    <row r="38" spans="1:7" x14ac:dyDescent="0.35">
      <c r="A38" s="7">
        <v>30</v>
      </c>
      <c r="B38" s="8">
        <f t="shared" ref="B38:G47" si="4">$B$4*(1-1/(2*B$6))^$A38</f>
        <v>1.7858209017001473E-4</v>
      </c>
      <c r="C38" s="8">
        <f t="shared" si="4"/>
        <v>0.21463876394293749</v>
      </c>
      <c r="D38" s="8">
        <f t="shared" si="4"/>
        <v>0.7397003733882801</v>
      </c>
      <c r="E38" s="8">
        <f t="shared" si="4"/>
        <v>0.86038419191469639</v>
      </c>
      <c r="F38" s="8">
        <f t="shared" si="4"/>
        <v>0.97043096726308598</v>
      </c>
      <c r="G38" s="8">
        <f t="shared" si="4"/>
        <v>0.98510824420837051</v>
      </c>
    </row>
    <row r="39" spans="1:7" x14ac:dyDescent="0.35">
      <c r="A39" s="7">
        <v>31</v>
      </c>
      <c r="B39" s="8">
        <f t="shared" si="4"/>
        <v>1.3393656762751105E-4</v>
      </c>
      <c r="C39" s="8">
        <f t="shared" si="4"/>
        <v>0.20390682574579064</v>
      </c>
      <c r="D39" s="8">
        <f t="shared" si="4"/>
        <v>0.73230336965439724</v>
      </c>
      <c r="E39" s="8">
        <f t="shared" si="4"/>
        <v>0.8560822709551229</v>
      </c>
      <c r="F39" s="8">
        <f t="shared" si="4"/>
        <v>0.96946053629582285</v>
      </c>
      <c r="G39" s="8">
        <f t="shared" si="4"/>
        <v>0.98461569008626626</v>
      </c>
    </row>
    <row r="40" spans="1:7" x14ac:dyDescent="0.35">
      <c r="A40" s="7">
        <v>32</v>
      </c>
      <c r="B40" s="8">
        <f t="shared" si="4"/>
        <v>1.0045242572063329E-4</v>
      </c>
      <c r="C40" s="8">
        <f t="shared" si="4"/>
        <v>0.19371148445850112</v>
      </c>
      <c r="D40" s="8">
        <f t="shared" si="4"/>
        <v>0.72498033595785327</v>
      </c>
      <c r="E40" s="8">
        <f t="shared" si="4"/>
        <v>0.85180185960034727</v>
      </c>
      <c r="F40" s="8">
        <f t="shared" si="4"/>
        <v>0.96849107575952709</v>
      </c>
      <c r="G40" s="8">
        <f t="shared" si="4"/>
        <v>0.98412338224122331</v>
      </c>
    </row>
    <row r="41" spans="1:7" x14ac:dyDescent="0.35">
      <c r="A41" s="7">
        <v>33</v>
      </c>
      <c r="B41" s="8">
        <f t="shared" si="4"/>
        <v>7.5339319290474964E-5</v>
      </c>
      <c r="C41" s="8">
        <f t="shared" si="4"/>
        <v>0.18402591023557605</v>
      </c>
      <c r="D41" s="8">
        <f t="shared" si="4"/>
        <v>0.71773053259827468</v>
      </c>
      <c r="E41" s="8">
        <f t="shared" si="4"/>
        <v>0.84754285030234555</v>
      </c>
      <c r="F41" s="8">
        <f t="shared" si="4"/>
        <v>0.96752258468376751</v>
      </c>
      <c r="G41" s="8">
        <f t="shared" si="4"/>
        <v>0.98363132055010272</v>
      </c>
    </row>
    <row r="42" spans="1:7" x14ac:dyDescent="0.35">
      <c r="A42" s="7">
        <v>34</v>
      </c>
      <c r="B42" s="8">
        <f t="shared" si="4"/>
        <v>5.650448946785622E-5</v>
      </c>
      <c r="C42" s="8">
        <f t="shared" si="4"/>
        <v>0.17482461472379726</v>
      </c>
      <c r="D42" s="8">
        <f t="shared" si="4"/>
        <v>0.71055322727229198</v>
      </c>
      <c r="E42" s="8">
        <f t="shared" si="4"/>
        <v>0.84330513605083379</v>
      </c>
      <c r="F42" s="8">
        <f t="shared" si="4"/>
        <v>0.96655506209908382</v>
      </c>
      <c r="G42" s="8">
        <f t="shared" si="4"/>
        <v>0.98313950488982782</v>
      </c>
    </row>
    <row r="43" spans="1:7" x14ac:dyDescent="0.35">
      <c r="A43" s="7">
        <v>35</v>
      </c>
      <c r="B43" s="8">
        <f t="shared" si="4"/>
        <v>4.2378367100892165E-5</v>
      </c>
      <c r="C43" s="8">
        <f t="shared" si="4"/>
        <v>0.16608338398760736</v>
      </c>
      <c r="D43" s="8">
        <f t="shared" si="4"/>
        <v>0.70344769499956905</v>
      </c>
      <c r="E43" s="8">
        <f t="shared" si="4"/>
        <v>0.83908861037057969</v>
      </c>
      <c r="F43" s="8">
        <f t="shared" si="4"/>
        <v>0.96558850703698473</v>
      </c>
      <c r="G43" s="8">
        <f t="shared" si="4"/>
        <v>0.98264793513738291</v>
      </c>
    </row>
    <row r="44" spans="1:7" x14ac:dyDescent="0.35">
      <c r="A44" s="7">
        <v>36</v>
      </c>
      <c r="B44" s="8">
        <f t="shared" si="4"/>
        <v>3.1783775325669129E-5</v>
      </c>
      <c r="C44" s="8">
        <f t="shared" si="4"/>
        <v>0.15777921478822701</v>
      </c>
      <c r="D44" s="8">
        <f t="shared" si="4"/>
        <v>0.69641321804957335</v>
      </c>
      <c r="E44" s="8">
        <f t="shared" si="4"/>
        <v>0.83489316731872676</v>
      </c>
      <c r="F44" s="8">
        <f t="shared" si="4"/>
        <v>0.96462291852994775</v>
      </c>
      <c r="G44" s="8">
        <f t="shared" si="4"/>
        <v>0.98215661116981434</v>
      </c>
    </row>
    <row r="45" spans="1:7" x14ac:dyDescent="0.35">
      <c r="A45" s="7">
        <v>37</v>
      </c>
      <c r="B45" s="8">
        <f t="shared" si="4"/>
        <v>2.3837831494251845E-5</v>
      </c>
      <c r="C45" s="8">
        <f t="shared" si="4"/>
        <v>0.14989025404881567</v>
      </c>
      <c r="D45" s="8">
        <f t="shared" si="4"/>
        <v>0.6894490858690776</v>
      </c>
      <c r="E45" s="8">
        <f t="shared" si="4"/>
        <v>0.83071870148213323</v>
      </c>
      <c r="F45" s="8">
        <f t="shared" si="4"/>
        <v>0.9636582956114178</v>
      </c>
      <c r="G45" s="8">
        <f t="shared" si="4"/>
        <v>0.98166553286422953</v>
      </c>
    </row>
    <row r="46" spans="1:7" x14ac:dyDescent="0.35">
      <c r="A46" s="7">
        <v>38</v>
      </c>
      <c r="B46" s="8">
        <f t="shared" si="4"/>
        <v>1.7878373620688882E-5</v>
      </c>
      <c r="C46" s="8">
        <f t="shared" si="4"/>
        <v>0.14239574134637487</v>
      </c>
      <c r="D46" s="8">
        <f t="shared" si="4"/>
        <v>0.68255459501038684</v>
      </c>
      <c r="E46" s="8">
        <f t="shared" si="4"/>
        <v>0.82656510797472249</v>
      </c>
      <c r="F46" s="8">
        <f t="shared" si="4"/>
        <v>0.96269463731580651</v>
      </c>
      <c r="G46" s="8">
        <f t="shared" si="4"/>
        <v>0.9811747000977975</v>
      </c>
    </row>
    <row r="47" spans="1:7" x14ac:dyDescent="0.35">
      <c r="A47" s="7">
        <v>39</v>
      </c>
      <c r="B47" s="8">
        <f t="shared" si="4"/>
        <v>1.3408780215516662E-5</v>
      </c>
      <c r="C47" s="8">
        <f t="shared" si="4"/>
        <v>0.13527595427905614</v>
      </c>
      <c r="D47" s="8">
        <f t="shared" si="4"/>
        <v>0.67572904906028297</v>
      </c>
      <c r="E47" s="8">
        <f t="shared" si="4"/>
        <v>0.82243228243484889</v>
      </c>
      <c r="F47" s="8">
        <f t="shared" si="4"/>
        <v>0.9617319426784906</v>
      </c>
      <c r="G47" s="8">
        <f t="shared" si="4"/>
        <v>0.98068411274774847</v>
      </c>
    </row>
    <row r="48" spans="1:7" x14ac:dyDescent="0.35">
      <c r="A48" s="7">
        <v>40</v>
      </c>
      <c r="B48" s="8">
        <f t="shared" ref="B48:G57" si="5">$B$4*(1-1/(2*B$6))^$A48</f>
        <v>1.0056585161637497E-5</v>
      </c>
      <c r="C48" s="8">
        <f t="shared" si="5"/>
        <v>0.12851215656510334</v>
      </c>
      <c r="D48" s="8">
        <f t="shared" si="5"/>
        <v>0.66897175856968005</v>
      </c>
      <c r="E48" s="8">
        <f t="shared" si="5"/>
        <v>0.8183201210226746</v>
      </c>
      <c r="F48" s="8">
        <f t="shared" si="5"/>
        <v>0.96077021073581215</v>
      </c>
      <c r="G48" s="8">
        <f t="shared" si="5"/>
        <v>0.98019377069137481</v>
      </c>
    </row>
    <row r="49" spans="1:7" x14ac:dyDescent="0.35">
      <c r="A49" s="7">
        <v>41</v>
      </c>
      <c r="B49" s="8">
        <f t="shared" si="5"/>
        <v>7.542438871228123E-6</v>
      </c>
      <c r="C49" s="8">
        <f t="shared" si="5"/>
        <v>0.12208654873684816</v>
      </c>
      <c r="D49" s="8">
        <f t="shared" si="5"/>
        <v>0.66228204098398324</v>
      </c>
      <c r="E49" s="8">
        <f t="shared" si="5"/>
        <v>0.81422852041756122</v>
      </c>
      <c r="F49" s="8">
        <f t="shared" si="5"/>
        <v>0.95980944052507633</v>
      </c>
      <c r="G49" s="8">
        <f t="shared" si="5"/>
        <v>0.97970367380602918</v>
      </c>
    </row>
    <row r="50" spans="1:7" x14ac:dyDescent="0.35">
      <c r="A50" s="7">
        <v>42</v>
      </c>
      <c r="B50" s="8">
        <f t="shared" si="5"/>
        <v>5.6568291534210922E-6</v>
      </c>
      <c r="C50" s="8">
        <f t="shared" si="5"/>
        <v>0.11598222130000577</v>
      </c>
      <c r="D50" s="8">
        <f t="shared" si="5"/>
        <v>0.65565922057414339</v>
      </c>
      <c r="E50" s="8">
        <f t="shared" si="5"/>
        <v>0.81015737781547348</v>
      </c>
      <c r="F50" s="8">
        <f t="shared" si="5"/>
        <v>0.95884963108455135</v>
      </c>
      <c r="G50" s="8">
        <f t="shared" si="5"/>
        <v>0.97921382196912621</v>
      </c>
    </row>
    <row r="51" spans="1:7" x14ac:dyDescent="0.35">
      <c r="A51" s="7">
        <v>43</v>
      </c>
      <c r="B51" s="8">
        <f t="shared" si="5"/>
        <v>4.2426218650658185E-6</v>
      </c>
      <c r="C51" s="8">
        <f t="shared" si="5"/>
        <v>0.11018311023500546</v>
      </c>
      <c r="D51" s="8">
        <f t="shared" si="5"/>
        <v>0.64910262836840193</v>
      </c>
      <c r="E51" s="8">
        <f t="shared" si="5"/>
        <v>0.80610659092639603</v>
      </c>
      <c r="F51" s="8">
        <f t="shared" si="5"/>
        <v>0.95789078145346673</v>
      </c>
      <c r="G51" s="8">
        <f t="shared" si="5"/>
        <v>0.97872421505814167</v>
      </c>
    </row>
    <row r="52" spans="1:7" x14ac:dyDescent="0.35">
      <c r="A52" s="7">
        <v>44</v>
      </c>
      <c r="B52" s="8">
        <f t="shared" si="5"/>
        <v>3.1819663987993641E-6</v>
      </c>
      <c r="C52" s="8">
        <f t="shared" si="5"/>
        <v>0.10467395472325518</v>
      </c>
      <c r="D52" s="8">
        <f t="shared" si="5"/>
        <v>0.64261160208471801</v>
      </c>
      <c r="E52" s="8">
        <f t="shared" si="5"/>
        <v>0.80207605797176418</v>
      </c>
      <c r="F52" s="8">
        <f t="shared" si="5"/>
        <v>0.95693289067201326</v>
      </c>
      <c r="G52" s="8">
        <f t="shared" si="5"/>
        <v>0.97823485295061274</v>
      </c>
    </row>
    <row r="53" spans="1:7" x14ac:dyDescent="0.35">
      <c r="A53" s="7">
        <v>45</v>
      </c>
      <c r="B53" s="8">
        <f t="shared" si="5"/>
        <v>2.3864747990995231E-6</v>
      </c>
      <c r="C53" s="8">
        <f t="shared" si="5"/>
        <v>9.9440256987092426E-2</v>
      </c>
      <c r="D53" s="8">
        <f t="shared" si="5"/>
        <v>0.63618548606387071</v>
      </c>
      <c r="E53" s="8">
        <f t="shared" si="5"/>
        <v>0.79806567768190539</v>
      </c>
      <c r="F53" s="8">
        <f t="shared" si="5"/>
        <v>0.95597595778134115</v>
      </c>
      <c r="G53" s="8">
        <f t="shared" si="5"/>
        <v>0.97774573552413746</v>
      </c>
    </row>
    <row r="54" spans="1:7" x14ac:dyDescent="0.35">
      <c r="A54" s="7">
        <v>46</v>
      </c>
      <c r="B54" s="8">
        <f t="shared" si="5"/>
        <v>1.7898560993246424E-6</v>
      </c>
      <c r="C54" s="8">
        <f t="shared" si="5"/>
        <v>9.44682441377378E-2</v>
      </c>
      <c r="D54" s="8">
        <f t="shared" si="5"/>
        <v>0.62982363120323204</v>
      </c>
      <c r="E54" s="8">
        <f t="shared" si="5"/>
        <v>0.79407534929349588</v>
      </c>
      <c r="F54" s="8">
        <f t="shared" si="5"/>
        <v>0.95501998182355996</v>
      </c>
      <c r="G54" s="8">
        <f t="shared" si="5"/>
        <v>0.97725686265637546</v>
      </c>
    </row>
    <row r="55" spans="1:7" x14ac:dyDescent="0.35">
      <c r="A55" s="7">
        <v>47</v>
      </c>
      <c r="B55" s="8">
        <f t="shared" si="5"/>
        <v>1.3423920744934817E-6</v>
      </c>
      <c r="C55" s="8">
        <f t="shared" si="5"/>
        <v>8.9744831930850921E-2</v>
      </c>
      <c r="D55" s="8">
        <f t="shared" si="5"/>
        <v>0.62352539489119974</v>
      </c>
      <c r="E55" s="8">
        <f t="shared" si="5"/>
        <v>0.79010497254702838</v>
      </c>
      <c r="F55" s="8">
        <f t="shared" si="5"/>
        <v>0.95406496184173628</v>
      </c>
      <c r="G55" s="8">
        <f t="shared" si="5"/>
        <v>0.97676823422504722</v>
      </c>
    </row>
    <row r="56" spans="1:7" x14ac:dyDescent="0.35">
      <c r="A56" s="7">
        <v>48</v>
      </c>
      <c r="B56" s="8">
        <f t="shared" si="5"/>
        <v>1.0067940558701114E-6</v>
      </c>
      <c r="C56" s="8">
        <f t="shared" si="5"/>
        <v>8.5257590334308367E-2</v>
      </c>
      <c r="D56" s="8">
        <f t="shared" si="5"/>
        <v>0.61729014094228774</v>
      </c>
      <c r="E56" s="8">
        <f t="shared" si="5"/>
        <v>0.78615444768429321</v>
      </c>
      <c r="F56" s="8">
        <f t="shared" si="5"/>
        <v>0.9531108968798947</v>
      </c>
      <c r="G56" s="8">
        <f t="shared" si="5"/>
        <v>0.97627985010793494</v>
      </c>
    </row>
    <row r="57" spans="1:7" x14ac:dyDescent="0.35">
      <c r="A57" s="7">
        <v>49</v>
      </c>
      <c r="B57" s="8">
        <f t="shared" si="5"/>
        <v>7.5509554190258349E-7</v>
      </c>
      <c r="C57" s="8">
        <f t="shared" si="5"/>
        <v>8.0994710817592949E-2</v>
      </c>
      <c r="D57" s="8">
        <f t="shared" si="5"/>
        <v>0.61111723953286479</v>
      </c>
      <c r="E57" s="8">
        <f t="shared" si="5"/>
        <v>0.78222367544587168</v>
      </c>
      <c r="F57" s="8">
        <f t="shared" si="5"/>
        <v>0.9521577859830147</v>
      </c>
      <c r="G57" s="8">
        <f t="shared" si="5"/>
        <v>0.97579171018288091</v>
      </c>
    </row>
    <row r="58" spans="1:7" x14ac:dyDescent="0.35">
      <c r="A58" s="7">
        <v>50</v>
      </c>
      <c r="B58" s="8">
        <f t="shared" ref="B58:G67" si="6">$B$4*(1-1/(2*B$6))^$A58</f>
        <v>5.6632165642693762E-7</v>
      </c>
      <c r="C58" s="8">
        <f t="shared" si="6"/>
        <v>7.6944975276713304E-2</v>
      </c>
      <c r="D58" s="8">
        <f t="shared" si="6"/>
        <v>0.60500606713753613</v>
      </c>
      <c r="E58" s="8">
        <f t="shared" si="6"/>
        <v>0.77831255706864233</v>
      </c>
      <c r="F58" s="8">
        <f t="shared" si="6"/>
        <v>0.95120562819703169</v>
      </c>
      <c r="G58" s="8">
        <f t="shared" si="6"/>
        <v>0.97530381432778968</v>
      </c>
    </row>
    <row r="59" spans="1:7" x14ac:dyDescent="0.35">
      <c r="A59" s="7">
        <v>51</v>
      </c>
      <c r="B59" s="8">
        <f t="shared" si="6"/>
        <v>4.2474124232020321E-7</v>
      </c>
      <c r="C59" s="8">
        <f t="shared" si="6"/>
        <v>7.3097726512877631E-2</v>
      </c>
      <c r="D59" s="8">
        <f t="shared" si="6"/>
        <v>0.59895600646616076</v>
      </c>
      <c r="E59" s="8">
        <f t="shared" si="6"/>
        <v>0.77442099428329914</v>
      </c>
      <c r="F59" s="8">
        <f t="shared" si="6"/>
        <v>0.95025442256883474</v>
      </c>
      <c r="G59" s="8">
        <f t="shared" si="6"/>
        <v>0.97481616242062574</v>
      </c>
    </row>
    <row r="60" spans="1:7" x14ac:dyDescent="0.35">
      <c r="A60" s="7">
        <v>52</v>
      </c>
      <c r="B60" s="8">
        <f t="shared" si="6"/>
        <v>3.185559317401524E-7</v>
      </c>
      <c r="C60" s="8">
        <f t="shared" si="6"/>
        <v>6.9442840187233748E-2</v>
      </c>
      <c r="D60" s="8">
        <f t="shared" si="6"/>
        <v>0.5929664464014992</v>
      </c>
      <c r="E60" s="8">
        <f t="shared" si="6"/>
        <v>0.7705488893118827</v>
      </c>
      <c r="F60" s="8">
        <f t="shared" si="6"/>
        <v>0.94930416814626584</v>
      </c>
      <c r="G60" s="8">
        <f t="shared" si="6"/>
        <v>0.97432875433941557</v>
      </c>
    </row>
    <row r="61" spans="1:7" x14ac:dyDescent="0.35">
      <c r="A61" s="7">
        <v>53</v>
      </c>
      <c r="B61" s="8">
        <f t="shared" si="6"/>
        <v>2.3891694880511431E-7</v>
      </c>
      <c r="C61" s="8">
        <f t="shared" si="6"/>
        <v>6.5970698177872072E-2</v>
      </c>
      <c r="D61" s="8">
        <f t="shared" si="6"/>
        <v>0.58703678193748421</v>
      </c>
      <c r="E61" s="8">
        <f t="shared" si="6"/>
        <v>0.76669614486532323</v>
      </c>
      <c r="F61" s="8">
        <f t="shared" si="6"/>
        <v>0.94835486397811963</v>
      </c>
      <c r="G61" s="8">
        <f t="shared" si="6"/>
        <v>0.9738415899622459</v>
      </c>
    </row>
    <row r="62" spans="1:7" x14ac:dyDescent="0.35">
      <c r="A62" s="7">
        <v>54</v>
      </c>
      <c r="B62" s="8">
        <f t="shared" si="6"/>
        <v>1.7918771160383575E-7</v>
      </c>
      <c r="C62" s="8">
        <f t="shared" si="6"/>
        <v>6.2672163268978454E-2</v>
      </c>
      <c r="D62" s="8">
        <f t="shared" si="6"/>
        <v>0.58116641411810932</v>
      </c>
      <c r="E62" s="8">
        <f t="shared" si="6"/>
        <v>0.76286266414099668</v>
      </c>
      <c r="F62" s="8">
        <f t="shared" si="6"/>
        <v>0.94740650911414159</v>
      </c>
      <c r="G62" s="8">
        <f t="shared" si="6"/>
        <v>0.97335466916726487</v>
      </c>
    </row>
    <row r="63" spans="1:7" x14ac:dyDescent="0.35">
      <c r="A63" s="7">
        <v>55</v>
      </c>
      <c r="B63" s="8">
        <f t="shared" si="6"/>
        <v>1.3439078370287679E-7</v>
      </c>
      <c r="C63" s="8">
        <f t="shared" si="6"/>
        <v>5.9538555105529543E-2</v>
      </c>
      <c r="D63" s="8">
        <f t="shared" si="6"/>
        <v>0.57535474997692826</v>
      </c>
      <c r="E63" s="8">
        <f t="shared" si="6"/>
        <v>0.75904835082029165</v>
      </c>
      <c r="F63" s="8">
        <f t="shared" si="6"/>
        <v>0.9464591026050273</v>
      </c>
      <c r="G63" s="8">
        <f t="shared" si="6"/>
        <v>0.97286799183268124</v>
      </c>
    </row>
    <row r="64" spans="1:7" x14ac:dyDescent="0.35">
      <c r="A64" s="7">
        <v>56</v>
      </c>
      <c r="B64" s="8">
        <f t="shared" si="6"/>
        <v>1.0079308777715761E-7</v>
      </c>
      <c r="C64" s="8">
        <f t="shared" si="6"/>
        <v>5.6561627350253066E-2</v>
      </c>
      <c r="D64" s="8">
        <f t="shared" si="6"/>
        <v>0.56960120247715895</v>
      </c>
      <c r="E64" s="8">
        <f t="shared" si="6"/>
        <v>0.75525310906619025</v>
      </c>
      <c r="F64" s="8">
        <f t="shared" si="6"/>
        <v>0.94551264350242248</v>
      </c>
      <c r="G64" s="8">
        <f t="shared" si="6"/>
        <v>0.97238155783676505</v>
      </c>
    </row>
    <row r="65" spans="1:7" x14ac:dyDescent="0.35">
      <c r="A65" s="7">
        <v>57</v>
      </c>
      <c r="B65" s="8">
        <f t="shared" si="6"/>
        <v>7.5594815832868201E-8</v>
      </c>
      <c r="C65" s="8">
        <f t="shared" si="6"/>
        <v>5.3733545982740404E-2</v>
      </c>
      <c r="D65" s="8">
        <f t="shared" si="6"/>
        <v>0.56390519045238729</v>
      </c>
      <c r="E65" s="8">
        <f t="shared" si="6"/>
        <v>0.75147684352085931</v>
      </c>
      <c r="F65" s="8">
        <f t="shared" si="6"/>
        <v>0.94456713085891997</v>
      </c>
      <c r="G65" s="8">
        <f t="shared" si="6"/>
        <v>0.97189536705784674</v>
      </c>
    </row>
    <row r="66" spans="1:7" x14ac:dyDescent="0.35">
      <c r="A66" s="7">
        <v>58</v>
      </c>
      <c r="B66" s="8">
        <f t="shared" si="6"/>
        <v>5.6696111874651151E-8</v>
      </c>
      <c r="C66" s="8">
        <f t="shared" si="6"/>
        <v>5.1046868683603391E-2</v>
      </c>
      <c r="D66" s="8">
        <f t="shared" si="6"/>
        <v>0.55826613854786344</v>
      </c>
      <c r="E66" s="8">
        <f t="shared" si="6"/>
        <v>0.74771945930325501</v>
      </c>
      <c r="F66" s="8">
        <f t="shared" si="6"/>
        <v>0.94362256372806108</v>
      </c>
      <c r="G66" s="8">
        <f t="shared" si="6"/>
        <v>0.97140941937431791</v>
      </c>
    </row>
    <row r="67" spans="1:7" x14ac:dyDescent="0.35">
      <c r="A67" s="7">
        <v>59</v>
      </c>
      <c r="B67" s="8">
        <f t="shared" si="6"/>
        <v>4.2522083905988365E-8</v>
      </c>
      <c r="C67" s="8">
        <f t="shared" si="6"/>
        <v>4.8494525249423222E-2</v>
      </c>
      <c r="D67" s="8">
        <f t="shared" si="6"/>
        <v>0.55268347716238486</v>
      </c>
      <c r="E67" s="8">
        <f t="shared" si="6"/>
        <v>0.74398086200673863</v>
      </c>
      <c r="F67" s="8">
        <f t="shared" si="6"/>
        <v>0.94267894116433293</v>
      </c>
      <c r="G67" s="8">
        <f t="shared" si="6"/>
        <v>0.97092371466463068</v>
      </c>
    </row>
    <row r="68" spans="1:7" x14ac:dyDescent="0.35">
      <c r="A68" s="7">
        <v>60</v>
      </c>
      <c r="B68" s="8">
        <f t="shared" ref="B68:G77" si="7">$B$4*(1-1/(2*B$6))^$A68</f>
        <v>3.1891562929491272E-8</v>
      </c>
      <c r="C68" s="8">
        <f t="shared" si="7"/>
        <v>4.606979898695205E-2</v>
      </c>
      <c r="D68" s="8">
        <f t="shared" si="7"/>
        <v>0.54715664239076089</v>
      </c>
      <c r="E68" s="8">
        <f t="shared" si="7"/>
        <v>0.74026095769670508</v>
      </c>
      <c r="F68" s="8">
        <f t="shared" si="7"/>
        <v>0.94173626222316864</v>
      </c>
      <c r="G68" s="8">
        <f t="shared" si="7"/>
        <v>0.97043825280729856</v>
      </c>
    </row>
    <row r="69" spans="1:7" x14ac:dyDescent="0.35">
      <c r="A69" s="7">
        <v>61</v>
      </c>
      <c r="B69" s="8">
        <f t="shared" si="7"/>
        <v>2.3918672197118452E-8</v>
      </c>
      <c r="C69" s="8">
        <f t="shared" si="7"/>
        <v>4.3766309037604451E-2</v>
      </c>
      <c r="D69" s="8">
        <f t="shared" si="7"/>
        <v>0.54168507596685322</v>
      </c>
      <c r="E69" s="8">
        <f t="shared" si="7"/>
        <v>0.73655965290822167</v>
      </c>
      <c r="F69" s="8">
        <f t="shared" si="7"/>
        <v>0.94079452596094548</v>
      </c>
      <c r="G69" s="8">
        <f t="shared" si="7"/>
        <v>0.96995303368089503</v>
      </c>
    </row>
    <row r="70" spans="1:7" x14ac:dyDescent="0.35">
      <c r="A70" s="7">
        <v>62</v>
      </c>
      <c r="B70" s="8">
        <f t="shared" si="7"/>
        <v>1.7939004147838842E-8</v>
      </c>
      <c r="C70" s="8">
        <f t="shared" si="7"/>
        <v>4.1577993585724227E-2</v>
      </c>
      <c r="D70" s="8">
        <f t="shared" si="7"/>
        <v>0.53626822520718487</v>
      </c>
      <c r="E70" s="8">
        <f t="shared" si="7"/>
        <v>0.73287685464368046</v>
      </c>
      <c r="F70" s="8">
        <f t="shared" si="7"/>
        <v>0.93985373143498452</v>
      </c>
      <c r="G70" s="8">
        <f t="shared" si="7"/>
        <v>0.9694680571640546</v>
      </c>
    </row>
    <row r="71" spans="1:7" x14ac:dyDescent="0.35">
      <c r="A71" s="7">
        <v>63</v>
      </c>
      <c r="B71" s="8">
        <f t="shared" si="7"/>
        <v>1.345425311087913E-8</v>
      </c>
      <c r="C71" s="8">
        <f t="shared" si="7"/>
        <v>3.9499093906438021E-2</v>
      </c>
      <c r="D71" s="8">
        <f t="shared" si="7"/>
        <v>0.53090554295511294</v>
      </c>
      <c r="E71" s="8">
        <f t="shared" si="7"/>
        <v>0.729212470370462</v>
      </c>
      <c r="F71" s="8">
        <f t="shared" si="7"/>
        <v>0.9389138777035495</v>
      </c>
      <c r="G71" s="8">
        <f t="shared" si="7"/>
        <v>0.96898332313547253</v>
      </c>
    </row>
    <row r="72" spans="1:7" x14ac:dyDescent="0.35">
      <c r="A72" s="7">
        <v>64</v>
      </c>
      <c r="B72" s="8">
        <f t="shared" si="7"/>
        <v>1.0090689833159348E-8</v>
      </c>
      <c r="C72" s="8">
        <f t="shared" si="7"/>
        <v>3.7524139211116116E-2</v>
      </c>
      <c r="D72" s="8">
        <f t="shared" si="7"/>
        <v>0.52559648752556176</v>
      </c>
      <c r="E72" s="8">
        <f t="shared" si="7"/>
        <v>0.72556640801860972</v>
      </c>
      <c r="F72" s="8">
        <f t="shared" si="7"/>
        <v>0.937974963825846</v>
      </c>
      <c r="G72" s="8">
        <f t="shared" si="7"/>
        <v>0.96849883147390492</v>
      </c>
    </row>
    <row r="73" spans="1:7" x14ac:dyDescent="0.35">
      <c r="A73" s="7">
        <v>65</v>
      </c>
      <c r="B73" s="8">
        <f t="shared" si="7"/>
        <v>7.5680173748695111E-9</v>
      </c>
      <c r="C73" s="8">
        <f t="shared" si="7"/>
        <v>3.5647932250560309E-2</v>
      </c>
      <c r="D73" s="8">
        <f t="shared" si="7"/>
        <v>0.52034052265030617</v>
      </c>
      <c r="E73" s="8">
        <f t="shared" si="7"/>
        <v>0.72193857597851663</v>
      </c>
      <c r="F73" s="8">
        <f t="shared" si="7"/>
        <v>0.93703698886202014</v>
      </c>
      <c r="G73" s="8">
        <f t="shared" si="7"/>
        <v>0.96801458205816804</v>
      </c>
    </row>
    <row r="74" spans="1:7" x14ac:dyDescent="0.35">
      <c r="A74" s="7">
        <v>66</v>
      </c>
      <c r="B74" s="8">
        <f t="shared" si="7"/>
        <v>5.6760130311521329E-9</v>
      </c>
      <c r="C74" s="8">
        <f t="shared" si="7"/>
        <v>3.3865535638032296E-2</v>
      </c>
      <c r="D74" s="8">
        <f t="shared" si="7"/>
        <v>0.51513711742380308</v>
      </c>
      <c r="E74" s="8">
        <f t="shared" si="7"/>
        <v>0.71832888309862408</v>
      </c>
      <c r="F74" s="8">
        <f t="shared" si="7"/>
        <v>0.9360999518731582</v>
      </c>
      <c r="G74" s="8">
        <f t="shared" si="7"/>
        <v>0.967530574767139</v>
      </c>
    </row>
    <row r="75" spans="1:7" x14ac:dyDescent="0.35">
      <c r="A75" s="7">
        <v>67</v>
      </c>
      <c r="B75" s="8">
        <f t="shared" si="7"/>
        <v>4.2570097733640997E-9</v>
      </c>
      <c r="C75" s="8">
        <f t="shared" si="7"/>
        <v>3.2172258856130675E-2</v>
      </c>
      <c r="D75" s="8">
        <f t="shared" si="7"/>
        <v>0.50998574624956505</v>
      </c>
      <c r="E75" s="8">
        <f t="shared" si="7"/>
        <v>0.71473723868313099</v>
      </c>
      <c r="F75" s="8">
        <f t="shared" si="7"/>
        <v>0.93516385192128493</v>
      </c>
      <c r="G75" s="8">
        <f t="shared" si="7"/>
        <v>0.96704680947975541</v>
      </c>
    </row>
    <row r="76" spans="1:7" x14ac:dyDescent="0.35">
      <c r="A76" s="7">
        <v>68</v>
      </c>
      <c r="B76" s="8">
        <f t="shared" si="7"/>
        <v>3.192757330023075E-9</v>
      </c>
      <c r="C76" s="8">
        <f t="shared" si="7"/>
        <v>3.0563645913324146E-2</v>
      </c>
      <c r="D76" s="8">
        <f t="shared" si="7"/>
        <v>0.50488588878706941</v>
      </c>
      <c r="E76" s="8">
        <f t="shared" si="7"/>
        <v>0.71116355248971541</v>
      </c>
      <c r="F76" s="8">
        <f t="shared" si="7"/>
        <v>0.93422868806936377</v>
      </c>
      <c r="G76" s="8">
        <f t="shared" si="7"/>
        <v>0.96656328607501574</v>
      </c>
    </row>
    <row r="77" spans="1:7" x14ac:dyDescent="0.35">
      <c r="A77" s="7">
        <v>69</v>
      </c>
      <c r="B77" s="8">
        <f t="shared" si="7"/>
        <v>2.394567997517306E-9</v>
      </c>
      <c r="C77" s="8">
        <f t="shared" si="7"/>
        <v>2.903546361765794E-2</v>
      </c>
      <c r="D77" s="8">
        <f t="shared" si="7"/>
        <v>0.49983702989919865</v>
      </c>
      <c r="E77" s="8">
        <f t="shared" si="7"/>
        <v>0.70760773472726679</v>
      </c>
      <c r="F77" s="8">
        <f t="shared" si="7"/>
        <v>0.93329445938129429</v>
      </c>
      <c r="G77" s="8">
        <f t="shared" si="7"/>
        <v>0.96608000443197828</v>
      </c>
    </row>
    <row r="78" spans="1:7" x14ac:dyDescent="0.35">
      <c r="A78" s="7">
        <v>70</v>
      </c>
      <c r="B78" s="8">
        <f t="shared" ref="B78:G87" si="8">$B$4*(1-1/(2*B$6))^$A78</f>
        <v>1.7959259981379796E-9</v>
      </c>
      <c r="C78" s="8">
        <f t="shared" si="8"/>
        <v>2.7583690436775037E-2</v>
      </c>
      <c r="D78" s="8">
        <f t="shared" si="8"/>
        <v>0.49483865960020668</v>
      </c>
      <c r="E78" s="8">
        <f t="shared" si="8"/>
        <v>0.70406969605363046</v>
      </c>
      <c r="F78" s="8">
        <f t="shared" si="8"/>
        <v>0.93236116492191312</v>
      </c>
      <c r="G78" s="8">
        <f t="shared" si="8"/>
        <v>0.96559696442976239</v>
      </c>
    </row>
    <row r="79" spans="1:7" x14ac:dyDescent="0.35">
      <c r="A79" s="7">
        <v>71</v>
      </c>
      <c r="B79" s="8">
        <f t="shared" si="8"/>
        <v>1.3469444986034847E-9</v>
      </c>
      <c r="C79" s="8">
        <f t="shared" si="8"/>
        <v>2.6204505914936286E-2</v>
      </c>
      <c r="D79" s="8">
        <f t="shared" si="8"/>
        <v>0.48989027300420462</v>
      </c>
      <c r="E79" s="8">
        <f t="shared" si="8"/>
        <v>0.70054934757336229</v>
      </c>
      <c r="F79" s="8">
        <f t="shared" si="8"/>
        <v>0.93142880375699111</v>
      </c>
      <c r="G79" s="8">
        <f t="shared" si="8"/>
        <v>0.9651141659475474</v>
      </c>
    </row>
    <row r="80" spans="1:7" x14ac:dyDescent="0.35">
      <c r="A80" s="7">
        <v>72</v>
      </c>
      <c r="B80" s="8">
        <f t="shared" si="8"/>
        <v>1.0102083739526134E-9</v>
      </c>
      <c r="C80" s="8">
        <f t="shared" si="8"/>
        <v>2.4894280619189475E-2</v>
      </c>
      <c r="D80" s="8">
        <f t="shared" si="8"/>
        <v>0.4849913702741625</v>
      </c>
      <c r="E80" s="8">
        <f t="shared" si="8"/>
        <v>0.69704660083549552</v>
      </c>
      <c r="F80" s="8">
        <f t="shared" si="8"/>
        <v>0.93049737495323415</v>
      </c>
      <c r="G80" s="8">
        <f t="shared" si="8"/>
        <v>0.96463160886457378</v>
      </c>
    </row>
    <row r="81" spans="1:7" x14ac:dyDescent="0.35">
      <c r="A81" s="7">
        <v>73</v>
      </c>
      <c r="B81" s="8">
        <f t="shared" si="8"/>
        <v>7.5765628046446018E-10</v>
      </c>
      <c r="C81" s="8">
        <f t="shared" si="8"/>
        <v>2.364956658823E-2</v>
      </c>
      <c r="D81" s="8">
        <f t="shared" si="8"/>
        <v>0.48014145657142088</v>
      </c>
      <c r="E81" s="8">
        <f t="shared" si="8"/>
        <v>0.69356136783131794</v>
      </c>
      <c r="F81" s="8">
        <f t="shared" si="8"/>
        <v>0.92956687757828094</v>
      </c>
      <c r="G81" s="8">
        <f t="shared" si="8"/>
        <v>0.96414929306014163</v>
      </c>
    </row>
    <row r="82" spans="1:7" x14ac:dyDescent="0.35">
      <c r="A82" s="7">
        <v>74</v>
      </c>
      <c r="B82" s="8">
        <f t="shared" si="8"/>
        <v>5.6824221034834511E-10</v>
      </c>
      <c r="C82" s="8">
        <f t="shared" si="8"/>
        <v>2.2467088258818501E-2</v>
      </c>
      <c r="D82" s="8">
        <f t="shared" si="8"/>
        <v>0.47534004200570668</v>
      </c>
      <c r="E82" s="8">
        <f t="shared" si="8"/>
        <v>0.69009356099216146</v>
      </c>
      <c r="F82" s="8">
        <f t="shared" si="8"/>
        <v>0.92863731070070277</v>
      </c>
      <c r="G82" s="8">
        <f t="shared" si="8"/>
        <v>0.96366721841361158</v>
      </c>
    </row>
    <row r="83" spans="1:7" x14ac:dyDescent="0.35">
      <c r="A83" s="7">
        <v>75</v>
      </c>
      <c r="B83" s="8">
        <f t="shared" si="8"/>
        <v>4.261816577612588E-10</v>
      </c>
      <c r="C83" s="8">
        <f t="shared" si="8"/>
        <v>2.1343733845877573E-2</v>
      </c>
      <c r="D83" s="8">
        <f t="shared" si="8"/>
        <v>0.47058664158564961</v>
      </c>
      <c r="E83" s="8">
        <f t="shared" si="8"/>
        <v>0.68664309318720063</v>
      </c>
      <c r="F83" s="8">
        <f t="shared" si="8"/>
        <v>0.92770867339000196</v>
      </c>
      <c r="G83" s="8">
        <f t="shared" si="8"/>
        <v>0.96318538480440474</v>
      </c>
    </row>
    <row r="84" spans="1:7" x14ac:dyDescent="0.35">
      <c r="A84" s="7">
        <v>76</v>
      </c>
      <c r="B84" s="8">
        <f t="shared" si="8"/>
        <v>3.1963624332094414E-10</v>
      </c>
      <c r="C84" s="8">
        <f t="shared" si="8"/>
        <v>2.0276547153583693E-2</v>
      </c>
      <c r="D84" s="8">
        <f t="shared" si="8"/>
        <v>0.46588077516979315</v>
      </c>
      <c r="E84" s="8">
        <f t="shared" si="8"/>
        <v>0.68320987772126462</v>
      </c>
      <c r="F84" s="8">
        <f t="shared" si="8"/>
        <v>0.92678096471661198</v>
      </c>
      <c r="G84" s="8">
        <f t="shared" si="8"/>
        <v>0.96270379211200274</v>
      </c>
    </row>
    <row r="85" spans="1:7" x14ac:dyDescent="0.35">
      <c r="A85" s="7">
        <v>77</v>
      </c>
      <c r="B85" s="8">
        <f t="shared" si="8"/>
        <v>2.3972718249070809E-10</v>
      </c>
      <c r="C85" s="8">
        <f t="shared" si="8"/>
        <v>1.926271979590451E-2</v>
      </c>
      <c r="D85" s="8">
        <f t="shared" si="8"/>
        <v>0.46122196741809512</v>
      </c>
      <c r="E85" s="8">
        <f t="shared" si="8"/>
        <v>0.67979382833265833</v>
      </c>
      <c r="F85" s="8">
        <f t="shared" si="8"/>
        <v>0.92585418375189532</v>
      </c>
      <c r="G85" s="8">
        <f t="shared" si="8"/>
        <v>0.96222244021594683</v>
      </c>
    </row>
    <row r="86" spans="1:7" x14ac:dyDescent="0.35">
      <c r="A86" s="7">
        <v>78</v>
      </c>
      <c r="B86" s="8">
        <f t="shared" si="8"/>
        <v>1.7979538686803106E-10</v>
      </c>
      <c r="C86" s="8">
        <f t="shared" si="8"/>
        <v>1.8299583806109285E-2</v>
      </c>
      <c r="D86" s="8">
        <f t="shared" si="8"/>
        <v>0.45660974774391422</v>
      </c>
      <c r="E86" s="8">
        <f t="shared" si="8"/>
        <v>0.67639485919099507</v>
      </c>
      <c r="F86" s="8">
        <f t="shared" si="8"/>
        <v>0.92492832956814353</v>
      </c>
      <c r="G86" s="8">
        <f t="shared" si="8"/>
        <v>0.96174132899583886</v>
      </c>
    </row>
    <row r="87" spans="1:7" x14ac:dyDescent="0.35">
      <c r="A87" s="7">
        <v>79</v>
      </c>
      <c r="B87" s="8">
        <f t="shared" si="8"/>
        <v>1.348465401510233E-10</v>
      </c>
      <c r="C87" s="8">
        <f t="shared" si="8"/>
        <v>1.7384604615803819E-2</v>
      </c>
      <c r="D87" s="8">
        <f t="shared" si="8"/>
        <v>0.45204365026647508</v>
      </c>
      <c r="E87" s="8">
        <f t="shared" si="8"/>
        <v>0.67301288489504008</v>
      </c>
      <c r="F87" s="8">
        <f t="shared" si="8"/>
        <v>0.92400340123857527</v>
      </c>
      <c r="G87" s="8">
        <f t="shared" si="8"/>
        <v>0.96126045833134088</v>
      </c>
    </row>
    <row r="88" spans="1:7" x14ac:dyDescent="0.35">
      <c r="A88" s="7">
        <v>80</v>
      </c>
      <c r="B88" s="8">
        <f t="shared" ref="B88:G97" si="9">$B$4*(1-1/(2*B$6))^$A88</f>
        <v>1.0113490511326748E-10</v>
      </c>
      <c r="C88" s="8">
        <f t="shared" si="9"/>
        <v>1.6515374385013628E-2</v>
      </c>
      <c r="D88" s="8">
        <f t="shared" si="9"/>
        <v>0.44752321376381032</v>
      </c>
      <c r="E88" s="8">
        <f t="shared" si="9"/>
        <v>0.66964782047056481</v>
      </c>
      <c r="F88" s="8">
        <f t="shared" si="9"/>
        <v>0.92307939783733683</v>
      </c>
      <c r="G88" s="8">
        <f t="shared" si="9"/>
        <v>0.96077982810217544</v>
      </c>
    </row>
    <row r="89" spans="1:7" x14ac:dyDescent="0.35">
      <c r="A89" s="7">
        <v>81</v>
      </c>
      <c r="B89" s="8">
        <f t="shared" si="9"/>
        <v>7.5851178834950601E-11</v>
      </c>
      <c r="C89" s="8">
        <f t="shared" si="9"/>
        <v>1.5689605665762947E-2</v>
      </c>
      <c r="D89" s="8">
        <f t="shared" si="9"/>
        <v>0.4430479816261722</v>
      </c>
      <c r="E89" s="8">
        <f t="shared" si="9"/>
        <v>0.66629958136821199</v>
      </c>
      <c r="F89" s="8">
        <f t="shared" si="9"/>
        <v>0.92215631843949952</v>
      </c>
      <c r="G89" s="8">
        <f t="shared" si="9"/>
        <v>0.96029943818812435</v>
      </c>
    </row>
    <row r="90" spans="1:7" x14ac:dyDescent="0.35">
      <c r="A90" s="7">
        <v>82</v>
      </c>
      <c r="B90" s="8">
        <f t="shared" si="9"/>
        <v>5.6888384126212957E-11</v>
      </c>
      <c r="C90" s="8">
        <f t="shared" si="9"/>
        <v>1.49051253824748E-2</v>
      </c>
      <c r="D90" s="8">
        <f t="shared" si="9"/>
        <v>0.43861750180991049</v>
      </c>
      <c r="E90" s="8">
        <f t="shared" si="9"/>
        <v>0.66296808346137104</v>
      </c>
      <c r="F90" s="8">
        <f t="shared" si="9"/>
        <v>0.92123416212106002</v>
      </c>
      <c r="G90" s="8">
        <f t="shared" si="9"/>
        <v>0.95981928846903042</v>
      </c>
    </row>
    <row r="91" spans="1:7" x14ac:dyDescent="0.35">
      <c r="A91" s="7">
        <v>83</v>
      </c>
      <c r="B91" s="8">
        <f t="shared" si="9"/>
        <v>4.2666288094659715E-11</v>
      </c>
      <c r="C91" s="8">
        <f t="shared" si="9"/>
        <v>1.415986911335106E-2</v>
      </c>
      <c r="D91" s="8">
        <f t="shared" si="9"/>
        <v>0.43423132679181131</v>
      </c>
      <c r="E91" s="8">
        <f t="shared" si="9"/>
        <v>0.65965324304406414</v>
      </c>
      <c r="F91" s="8">
        <f t="shared" si="9"/>
        <v>0.92031292795893893</v>
      </c>
      <c r="G91" s="8">
        <f t="shared" si="9"/>
        <v>0.95933937882479592</v>
      </c>
    </row>
    <row r="92" spans="1:7" x14ac:dyDescent="0.35">
      <c r="A92" s="7">
        <v>84</v>
      </c>
      <c r="B92" s="8">
        <f t="shared" si="9"/>
        <v>3.1999716070994789E-11</v>
      </c>
      <c r="C92" s="8">
        <f t="shared" si="9"/>
        <v>1.3451875657683507E-2</v>
      </c>
      <c r="D92" s="8">
        <f t="shared" si="9"/>
        <v>0.42988901352389325</v>
      </c>
      <c r="E92" s="8">
        <f t="shared" si="9"/>
        <v>0.65635497682884381</v>
      </c>
      <c r="F92" s="8">
        <f t="shared" si="9"/>
        <v>0.91939261503098002</v>
      </c>
      <c r="G92" s="8">
        <f t="shared" si="9"/>
        <v>0.95885970913538365</v>
      </c>
    </row>
    <row r="93" spans="1:7" x14ac:dyDescent="0.35">
      <c r="A93" s="7">
        <v>85</v>
      </c>
      <c r="B93" s="8">
        <f t="shared" si="9"/>
        <v>2.3999787053246092E-11</v>
      </c>
      <c r="C93" s="8">
        <f t="shared" si="9"/>
        <v>1.2779281874799332E-2</v>
      </c>
      <c r="D93" s="8">
        <f t="shared" si="9"/>
        <v>0.42559012338865432</v>
      </c>
      <c r="E93" s="8">
        <f t="shared" si="9"/>
        <v>0.65307320194469964</v>
      </c>
      <c r="F93" s="8">
        <f t="shared" si="9"/>
        <v>0.91847322241594898</v>
      </c>
      <c r="G93" s="8">
        <f t="shared" si="9"/>
        <v>0.95838027928081604</v>
      </c>
    </row>
    <row r="94" spans="1:7" x14ac:dyDescent="0.35">
      <c r="A94" s="7">
        <v>86</v>
      </c>
      <c r="B94" s="8">
        <f t="shared" si="9"/>
        <v>1.7999840289934567E-11</v>
      </c>
      <c r="C94" s="8">
        <f t="shared" si="9"/>
        <v>1.2140317781059364E-2</v>
      </c>
      <c r="D94" s="8">
        <f t="shared" si="9"/>
        <v>0.42133422215476773</v>
      </c>
      <c r="E94" s="8">
        <f t="shared" si="9"/>
        <v>0.64980783593497615</v>
      </c>
      <c r="F94" s="8">
        <f t="shared" si="9"/>
        <v>0.91755474919353319</v>
      </c>
      <c r="G94" s="8">
        <f t="shared" si="9"/>
        <v>0.95790108914117567</v>
      </c>
    </row>
    <row r="95" spans="1:7" x14ac:dyDescent="0.35">
      <c r="A95" s="7">
        <v>87</v>
      </c>
      <c r="B95" s="8">
        <f t="shared" si="9"/>
        <v>1.3499880217450927E-11</v>
      </c>
      <c r="C95" s="8">
        <f t="shared" si="9"/>
        <v>1.1533301892006397E-2</v>
      </c>
      <c r="D95" s="8">
        <f t="shared" si="9"/>
        <v>0.41712087993322011</v>
      </c>
      <c r="E95" s="8">
        <f t="shared" si="9"/>
        <v>0.64655879675530126</v>
      </c>
      <c r="F95" s="8">
        <f t="shared" si="9"/>
        <v>0.91663719444433955</v>
      </c>
      <c r="G95" s="8">
        <f t="shared" si="9"/>
        <v>0.95742213859660508</v>
      </c>
    </row>
    <row r="96" spans="1:7" x14ac:dyDescent="0.35">
      <c r="A96" s="7">
        <v>88</v>
      </c>
      <c r="B96" s="8">
        <f t="shared" si="9"/>
        <v>1.0124910163088195E-11</v>
      </c>
      <c r="C96" s="8">
        <f t="shared" si="9"/>
        <v>1.0956636797406077E-2</v>
      </c>
      <c r="D96" s="8">
        <f t="shared" si="9"/>
        <v>0.41294967113388786</v>
      </c>
      <c r="E96" s="8">
        <f t="shared" si="9"/>
        <v>0.64332600277152474</v>
      </c>
      <c r="F96" s="8">
        <f t="shared" si="9"/>
        <v>0.91572055724989532</v>
      </c>
      <c r="G96" s="8">
        <f t="shared" si="9"/>
        <v>0.95694342752730688</v>
      </c>
    </row>
    <row r="97" spans="1:7" x14ac:dyDescent="0.35">
      <c r="A97" s="7">
        <v>89</v>
      </c>
      <c r="B97" s="8">
        <f t="shared" si="9"/>
        <v>7.5936826223161466E-12</v>
      </c>
      <c r="C97" s="8">
        <f t="shared" si="9"/>
        <v>1.0408804957535772E-2</v>
      </c>
      <c r="D97" s="8">
        <f t="shared" si="9"/>
        <v>0.40882017442254898</v>
      </c>
      <c r="E97" s="8">
        <f t="shared" si="9"/>
        <v>0.64010937275766711</v>
      </c>
      <c r="F97" s="8">
        <f t="shared" si="9"/>
        <v>0.91480483669264545</v>
      </c>
      <c r="G97" s="8">
        <f t="shared" si="9"/>
        <v>0.95646495581354329</v>
      </c>
    </row>
    <row r="98" spans="1:7" x14ac:dyDescent="0.35">
      <c r="A98" s="7">
        <v>90</v>
      </c>
      <c r="B98" s="8">
        <f t="shared" ref="B98:G107" si="10">$B$4*(1-1/(2*B$6))^$A98</f>
        <v>5.6952619667371091E-12</v>
      </c>
      <c r="C98" s="8">
        <f t="shared" si="10"/>
        <v>9.8883647096589845E-3</v>
      </c>
      <c r="D98" s="8">
        <f t="shared" si="10"/>
        <v>0.4047319726783235</v>
      </c>
      <c r="E98" s="8">
        <f t="shared" si="10"/>
        <v>0.63690882589387876</v>
      </c>
      <c r="F98" s="8">
        <f t="shared" si="10"/>
        <v>0.91389003185595274</v>
      </c>
      <c r="G98" s="8">
        <f t="shared" si="10"/>
        <v>0.95598672333563661</v>
      </c>
    </row>
    <row r="99" spans="1:7" x14ac:dyDescent="0.35">
      <c r="A99" s="7">
        <v>91</v>
      </c>
      <c r="B99" s="8">
        <f t="shared" si="10"/>
        <v>4.271446475052832E-12</v>
      </c>
      <c r="C99" s="8">
        <f t="shared" si="10"/>
        <v>9.3939464741760355E-3</v>
      </c>
      <c r="D99" s="8">
        <f t="shared" si="10"/>
        <v>0.40068465295154027</v>
      </c>
      <c r="E99" s="8">
        <f t="shared" si="10"/>
        <v>0.63372428176440931</v>
      </c>
      <c r="F99" s="8">
        <f t="shared" si="10"/>
        <v>0.9129761418240967</v>
      </c>
      <c r="G99" s="8">
        <f t="shared" si="10"/>
        <v>0.95550872997396874</v>
      </c>
    </row>
    <row r="100" spans="1:7" x14ac:dyDescent="0.35">
      <c r="A100" s="7">
        <v>92</v>
      </c>
      <c r="B100" s="8">
        <f t="shared" si="10"/>
        <v>3.203584856289624E-12</v>
      </c>
      <c r="C100" s="8">
        <f t="shared" si="10"/>
        <v>8.9242491504672328E-3</v>
      </c>
      <c r="D100" s="8">
        <f t="shared" si="10"/>
        <v>0.39667780642202483</v>
      </c>
      <c r="E100" s="8">
        <f t="shared" si="10"/>
        <v>0.63055566035558741</v>
      </c>
      <c r="F100" s="8">
        <f t="shared" si="10"/>
        <v>0.91206316568227275</v>
      </c>
      <c r="G100" s="8">
        <f t="shared" si="10"/>
        <v>0.95503097560898198</v>
      </c>
    </row>
    <row r="101" spans="1:7" x14ac:dyDescent="0.35">
      <c r="A101" s="7">
        <v>93</v>
      </c>
      <c r="B101" s="8">
        <f t="shared" si="10"/>
        <v>2.4026886422172181E-12</v>
      </c>
      <c r="C101" s="8">
        <f t="shared" si="10"/>
        <v>8.4780366929438702E-3</v>
      </c>
      <c r="D101" s="8">
        <f t="shared" si="10"/>
        <v>0.39271102835780453</v>
      </c>
      <c r="E101" s="8">
        <f t="shared" si="10"/>
        <v>0.62740288205380956</v>
      </c>
      <c r="F101" s="8">
        <f t="shared" si="10"/>
        <v>0.91115110251659037</v>
      </c>
      <c r="G101" s="8">
        <f t="shared" si="10"/>
        <v>0.95455346012117759</v>
      </c>
    </row>
    <row r="102" spans="1:7" x14ac:dyDescent="0.35">
      <c r="A102" s="7">
        <v>94</v>
      </c>
      <c r="B102" s="8">
        <f t="shared" si="10"/>
        <v>1.8020164816629136E-12</v>
      </c>
      <c r="C102" s="8">
        <f t="shared" si="10"/>
        <v>8.054134858296676E-3</v>
      </c>
      <c r="D102" s="8">
        <f t="shared" si="10"/>
        <v>0.38878391807422652</v>
      </c>
      <c r="E102" s="8">
        <f t="shared" si="10"/>
        <v>0.62426586764354042</v>
      </c>
      <c r="F102" s="8">
        <f t="shared" si="10"/>
        <v>0.91023995141407377</v>
      </c>
      <c r="G102" s="8">
        <f t="shared" si="10"/>
        <v>0.95407618339111699</v>
      </c>
    </row>
    <row r="103" spans="1:7" x14ac:dyDescent="0.35">
      <c r="A103" s="7">
        <v>95</v>
      </c>
      <c r="B103" s="8">
        <f t="shared" si="10"/>
        <v>1.3515123612471852E-12</v>
      </c>
      <c r="C103" s="8">
        <f t="shared" si="10"/>
        <v>7.6514281153818439E-3</v>
      </c>
      <c r="D103" s="8">
        <f t="shared" si="10"/>
        <v>0.38489607889348426</v>
      </c>
      <c r="E103" s="8">
        <f t="shared" si="10"/>
        <v>0.62114453830532268</v>
      </c>
      <c r="F103" s="8">
        <f t="shared" si="10"/>
        <v>0.90932971146265973</v>
      </c>
      <c r="G103" s="8">
        <f t="shared" si="10"/>
        <v>0.95359914529942136</v>
      </c>
    </row>
    <row r="104" spans="1:7" x14ac:dyDescent="0.35">
      <c r="A104" s="7">
        <v>96</v>
      </c>
      <c r="B104" s="8">
        <f t="shared" si="10"/>
        <v>1.0136342709353888E-12</v>
      </c>
      <c r="C104" s="8">
        <f t="shared" si="10"/>
        <v>7.268856709612752E-3</v>
      </c>
      <c r="D104" s="8">
        <f t="shared" si="10"/>
        <v>0.38104711810454939</v>
      </c>
      <c r="E104" s="8">
        <f t="shared" si="10"/>
        <v>0.61803881561379603</v>
      </c>
      <c r="F104" s="8">
        <f t="shared" si="10"/>
        <v>0.9084203817511971</v>
      </c>
      <c r="G104" s="8">
        <f t="shared" si="10"/>
        <v>0.9531223457267719</v>
      </c>
    </row>
    <row r="105" spans="1:7" x14ac:dyDescent="0.35">
      <c r="A105" s="7">
        <v>97</v>
      </c>
      <c r="B105" s="8">
        <f t="shared" si="10"/>
        <v>7.602257032015416E-13</v>
      </c>
      <c r="C105" s="8">
        <f t="shared" si="10"/>
        <v>6.9054138741321139E-3</v>
      </c>
      <c r="D105" s="8">
        <f t="shared" si="10"/>
        <v>0.37723664692350389</v>
      </c>
      <c r="E105" s="8">
        <f t="shared" si="10"/>
        <v>0.61494862153572716</v>
      </c>
      <c r="F105" s="8">
        <f t="shared" si="10"/>
        <v>0.9075119613694459</v>
      </c>
      <c r="G105" s="8">
        <f t="shared" si="10"/>
        <v>0.95264578455390847</v>
      </c>
    </row>
    <row r="106" spans="1:7" x14ac:dyDescent="0.35">
      <c r="A106" s="7">
        <v>98</v>
      </c>
      <c r="B106" s="8">
        <f t="shared" si="10"/>
        <v>5.7016927740115615E-13</v>
      </c>
      <c r="C106" s="8">
        <f t="shared" si="10"/>
        <v>6.5601431804255088E-3</v>
      </c>
      <c r="D106" s="8">
        <f t="shared" si="10"/>
        <v>0.37346428045426888</v>
      </c>
      <c r="E106" s="8">
        <f t="shared" si="10"/>
        <v>0.61187387842804841</v>
      </c>
      <c r="F106" s="8">
        <f t="shared" si="10"/>
        <v>0.9066044494080765</v>
      </c>
      <c r="G106" s="8">
        <f t="shared" si="10"/>
        <v>0.95216946166163163</v>
      </c>
    </row>
    <row r="107" spans="1:7" x14ac:dyDescent="0.35">
      <c r="A107" s="7">
        <v>99</v>
      </c>
      <c r="B107" s="8">
        <f t="shared" si="10"/>
        <v>4.2762695805086714E-13</v>
      </c>
      <c r="C107" s="8">
        <f t="shared" si="10"/>
        <v>6.2321360214042318E-3</v>
      </c>
      <c r="D107" s="8">
        <f t="shared" si="10"/>
        <v>0.36972963764972616</v>
      </c>
      <c r="E107" s="8">
        <f t="shared" si="10"/>
        <v>0.60881450903590828</v>
      </c>
      <c r="F107" s="8">
        <f t="shared" si="10"/>
        <v>0.90569784495866845</v>
      </c>
      <c r="G107" s="8">
        <f t="shared" si="10"/>
        <v>0.95169337693080092</v>
      </c>
    </row>
    <row r="108" spans="1:7" x14ac:dyDescent="0.35">
      <c r="A108" s="7">
        <v>100</v>
      </c>
      <c r="B108" s="8">
        <f t="shared" ref="B108:G117" si="11">$B$4*(1-1/(2*B$6))^$A108</f>
        <v>3.2072021853815043E-13</v>
      </c>
      <c r="C108" s="8">
        <f t="shared" si="11"/>
        <v>5.9205292203340209E-3</v>
      </c>
      <c r="D108" s="8">
        <f t="shared" si="11"/>
        <v>0.36603234127322892</v>
      </c>
      <c r="E108" s="8">
        <f t="shared" si="11"/>
        <v>0.6057704364907287</v>
      </c>
      <c r="F108" s="8">
        <f t="shared" si="11"/>
        <v>0.9047921471137097</v>
      </c>
      <c r="G108" s="8">
        <f t="shared" si="11"/>
        <v>0.95121753024233557</v>
      </c>
    </row>
    <row r="109" spans="1:7" x14ac:dyDescent="0.35">
      <c r="A109" s="7">
        <v>101</v>
      </c>
      <c r="B109" s="8">
        <f t="shared" si="11"/>
        <v>2.4054016390361281E-13</v>
      </c>
      <c r="C109" s="8">
        <f t="shared" si="11"/>
        <v>5.6245027593173199E-3</v>
      </c>
      <c r="D109" s="8">
        <f t="shared" si="11"/>
        <v>0.36237201786049661</v>
      </c>
      <c r="E109" s="8">
        <f t="shared" si="11"/>
        <v>0.60274158430827507</v>
      </c>
      <c r="F109" s="8">
        <f t="shared" si="11"/>
        <v>0.903887354966596</v>
      </c>
      <c r="G109" s="8">
        <f t="shared" si="11"/>
        <v>0.95074192147721448</v>
      </c>
    </row>
    <row r="110" spans="1:7" x14ac:dyDescent="0.35">
      <c r="A110" s="7">
        <v>102</v>
      </c>
      <c r="B110" s="8">
        <f t="shared" si="11"/>
        <v>1.8040512292770958E-13</v>
      </c>
      <c r="C110" s="8">
        <f t="shared" si="11"/>
        <v>5.3432776213514534E-3</v>
      </c>
      <c r="D110" s="8">
        <f t="shared" si="11"/>
        <v>0.35874829768189165</v>
      </c>
      <c r="E110" s="8">
        <f t="shared" si="11"/>
        <v>0.59972787638673375</v>
      </c>
      <c r="F110" s="8">
        <f t="shared" si="11"/>
        <v>0.90298346761162951</v>
      </c>
      <c r="G110" s="8">
        <f t="shared" si="11"/>
        <v>0.95026655051647602</v>
      </c>
    </row>
    <row r="111" spans="1:7" x14ac:dyDescent="0.35">
      <c r="A111" s="7">
        <v>103</v>
      </c>
      <c r="B111" s="8">
        <f t="shared" si="11"/>
        <v>1.3530384219578219E-13</v>
      </c>
      <c r="C111" s="8">
        <f t="shared" si="11"/>
        <v>5.0761137402838812E-3</v>
      </c>
      <c r="D111" s="8">
        <f t="shared" si="11"/>
        <v>0.35516081470507271</v>
      </c>
      <c r="E111" s="8">
        <f t="shared" si="11"/>
        <v>0.59672923700480007</v>
      </c>
      <c r="F111" s="8">
        <f t="shared" si="11"/>
        <v>0.90208048414401787</v>
      </c>
      <c r="G111" s="8">
        <f t="shared" si="11"/>
        <v>0.94979141724121763</v>
      </c>
    </row>
    <row r="112" spans="1:7" x14ac:dyDescent="0.35">
      <c r="A112" s="7">
        <v>104</v>
      </c>
      <c r="B112" s="8">
        <f t="shared" si="11"/>
        <v>1.0147788164683664E-13</v>
      </c>
      <c r="C112" s="8">
        <f t="shared" si="11"/>
        <v>4.8223080532696872E-3</v>
      </c>
      <c r="D112" s="8">
        <f t="shared" si="11"/>
        <v>0.35160920655802197</v>
      </c>
      <c r="E112" s="8">
        <f t="shared" si="11"/>
        <v>0.59374559081977596</v>
      </c>
      <c r="F112" s="8">
        <f t="shared" si="11"/>
        <v>0.90117840365987378</v>
      </c>
      <c r="G112" s="8">
        <f t="shared" si="11"/>
        <v>0.94931652153259727</v>
      </c>
    </row>
    <row r="113" spans="1:7" x14ac:dyDescent="0.35">
      <c r="A113" s="7">
        <v>105</v>
      </c>
      <c r="B113" s="8">
        <f t="shared" si="11"/>
        <v>7.6108411235127483E-14</v>
      </c>
      <c r="C113" s="8">
        <f t="shared" si="11"/>
        <v>4.5811926506062021E-3</v>
      </c>
      <c r="D113" s="8">
        <f t="shared" si="11"/>
        <v>0.34809311449244174</v>
      </c>
      <c r="E113" s="8">
        <f t="shared" si="11"/>
        <v>0.5907768628656771</v>
      </c>
      <c r="F113" s="8">
        <f t="shared" si="11"/>
        <v>0.90027722525621401</v>
      </c>
      <c r="G113" s="8">
        <f t="shared" si="11"/>
        <v>0.94884186327183095</v>
      </c>
    </row>
    <row r="114" spans="1:7" x14ac:dyDescent="0.35">
      <c r="A114" s="7">
        <v>106</v>
      </c>
      <c r="B114" s="8">
        <f t="shared" si="11"/>
        <v>5.7081308426345619E-14</v>
      </c>
      <c r="C114" s="8">
        <f t="shared" si="11"/>
        <v>4.3521330180758934E-3</v>
      </c>
      <c r="D114" s="8">
        <f t="shared" si="11"/>
        <v>0.34461218334751731</v>
      </c>
      <c r="E114" s="8">
        <f t="shared" si="11"/>
        <v>0.5878229785513488</v>
      </c>
      <c r="F114" s="8">
        <f t="shared" si="11"/>
        <v>0.8993769480309578</v>
      </c>
      <c r="G114" s="8">
        <f t="shared" si="11"/>
        <v>0.9483674423401951</v>
      </c>
    </row>
    <row r="115" spans="1:7" x14ac:dyDescent="0.35">
      <c r="A115" s="7">
        <v>107</v>
      </c>
      <c r="B115" s="8">
        <f t="shared" si="11"/>
        <v>4.2810981319759204E-14</v>
      </c>
      <c r="C115" s="8">
        <f t="shared" si="11"/>
        <v>4.1345263671720978E-3</v>
      </c>
      <c r="D115" s="8">
        <f t="shared" si="11"/>
        <v>0.34116606151404211</v>
      </c>
      <c r="E115" s="8">
        <f t="shared" si="11"/>
        <v>0.58488386365859202</v>
      </c>
      <c r="F115" s="8">
        <f t="shared" si="11"/>
        <v>0.89847757108292681</v>
      </c>
      <c r="G115" s="8">
        <f t="shared" si="11"/>
        <v>0.94789325861902507</v>
      </c>
    </row>
    <row r="116" spans="1:7" x14ac:dyDescent="0.35">
      <c r="A116" s="7">
        <v>108</v>
      </c>
      <c r="B116" s="8">
        <f t="shared" si="11"/>
        <v>3.2108235989819406E-14</v>
      </c>
      <c r="C116" s="8">
        <f t="shared" si="11"/>
        <v>3.9278000488134927E-3</v>
      </c>
      <c r="D116" s="8">
        <f t="shared" si="11"/>
        <v>0.33775440089890174</v>
      </c>
      <c r="E116" s="8">
        <f t="shared" si="11"/>
        <v>0.58195944434029911</v>
      </c>
      <c r="F116" s="8">
        <f t="shared" si="11"/>
        <v>0.89757909351184384</v>
      </c>
      <c r="G116" s="8">
        <f t="shared" si="11"/>
        <v>0.94741931198971563</v>
      </c>
    </row>
    <row r="117" spans="1:7" x14ac:dyDescent="0.35">
      <c r="A117" s="7">
        <v>109</v>
      </c>
      <c r="B117" s="8">
        <f t="shared" si="11"/>
        <v>2.4081176992364555E-14</v>
      </c>
      <c r="C117" s="8">
        <f t="shared" si="11"/>
        <v>3.731410046372818E-3</v>
      </c>
      <c r="D117" s="8">
        <f t="shared" si="11"/>
        <v>0.33437685688991264</v>
      </c>
      <c r="E117" s="8">
        <f t="shared" si="11"/>
        <v>0.57904964711859763</v>
      </c>
      <c r="F117" s="8">
        <f t="shared" si="11"/>
        <v>0.89668151441833199</v>
      </c>
      <c r="G117" s="8">
        <f t="shared" si="11"/>
        <v>0.94694560233372083</v>
      </c>
    </row>
    <row r="118" spans="1:7" x14ac:dyDescent="0.35">
      <c r="A118" s="7">
        <v>110</v>
      </c>
      <c r="B118" s="8">
        <f t="shared" ref="B118:G127" si="12">$B$4*(1-1/(2*B$6))^$A118</f>
        <v>1.8060882744273417E-14</v>
      </c>
      <c r="C118" s="8">
        <f t="shared" si="12"/>
        <v>3.5448395440541773E-3</v>
      </c>
      <c r="D118" s="8">
        <f t="shared" si="12"/>
        <v>0.33103308832101358</v>
      </c>
      <c r="E118" s="8">
        <f t="shared" si="12"/>
        <v>0.57615439888300468</v>
      </c>
      <c r="F118" s="8">
        <f t="shared" si="12"/>
        <v>0.89578483290391375</v>
      </c>
      <c r="G118" s="8">
        <f t="shared" si="12"/>
        <v>0.946472129532554</v>
      </c>
    </row>
    <row r="119" spans="1:7" x14ac:dyDescent="0.35">
      <c r="A119" s="7">
        <v>111</v>
      </c>
      <c r="B119" s="8">
        <f t="shared" si="12"/>
        <v>1.3545662058205062E-14</v>
      </c>
      <c r="C119" s="8">
        <f t="shared" si="12"/>
        <v>3.3675975668514685E-3</v>
      </c>
      <c r="D119" s="8">
        <f t="shared" si="12"/>
        <v>0.32772275743780344</v>
      </c>
      <c r="E119" s="8">
        <f t="shared" si="12"/>
        <v>0.57327362688858963</v>
      </c>
      <c r="F119" s="8">
        <f t="shared" si="12"/>
        <v>0.89488904807100977</v>
      </c>
      <c r="G119" s="8">
        <f t="shared" si="12"/>
        <v>0.94599889346778765</v>
      </c>
    </row>
    <row r="120" spans="1:7" x14ac:dyDescent="0.35">
      <c r="A120" s="7">
        <v>112</v>
      </c>
      <c r="B120" s="8">
        <f t="shared" si="12"/>
        <v>1.0159246543653796E-14</v>
      </c>
      <c r="C120" s="8">
        <f t="shared" si="12"/>
        <v>3.1992176885088947E-3</v>
      </c>
      <c r="D120" s="8">
        <f t="shared" si="12"/>
        <v>0.3244455298634254</v>
      </c>
      <c r="E120" s="8">
        <f t="shared" si="12"/>
        <v>0.57040725875414666</v>
      </c>
      <c r="F120" s="8">
        <f t="shared" si="12"/>
        <v>0.89399415902293888</v>
      </c>
      <c r="G120" s="8">
        <f t="shared" si="12"/>
        <v>0.94552589402105403</v>
      </c>
    </row>
    <row r="121" spans="1:7" x14ac:dyDescent="0.35">
      <c r="A121" s="7">
        <v>113</v>
      </c>
      <c r="B121" s="8">
        <f t="shared" si="12"/>
        <v>7.6194349077403481E-15</v>
      </c>
      <c r="C121" s="8">
        <f t="shared" si="12"/>
        <v>3.0392568040834502E-3</v>
      </c>
      <c r="D121" s="8">
        <f t="shared" si="12"/>
        <v>0.32120107456479113</v>
      </c>
      <c r="E121" s="8">
        <f t="shared" si="12"/>
        <v>0.56755522246037593</v>
      </c>
      <c r="F121" s="8">
        <f t="shared" si="12"/>
        <v>0.89310016486391586</v>
      </c>
      <c r="G121" s="8">
        <f t="shared" si="12"/>
        <v>0.94505313107404343</v>
      </c>
    </row>
    <row r="122" spans="1:7" x14ac:dyDescent="0.35">
      <c r="A122" s="7">
        <v>114</v>
      </c>
      <c r="B122" s="8">
        <f t="shared" si="12"/>
        <v>5.7145761808052603E-15</v>
      </c>
      <c r="C122" s="8">
        <f t="shared" si="12"/>
        <v>2.8872939638792776E-3</v>
      </c>
      <c r="D122" s="8">
        <f t="shared" si="12"/>
        <v>0.31798906381914321</v>
      </c>
      <c r="E122" s="8">
        <f t="shared" si="12"/>
        <v>0.56471744634807397</v>
      </c>
      <c r="F122" s="8">
        <f t="shared" si="12"/>
        <v>0.89220706469905187</v>
      </c>
      <c r="G122" s="8">
        <f t="shared" si="12"/>
        <v>0.94458060450850667</v>
      </c>
    </row>
    <row r="123" spans="1:7" x14ac:dyDescent="0.35">
      <c r="A123" s="7">
        <v>115</v>
      </c>
      <c r="B123" s="8">
        <f t="shared" si="12"/>
        <v>4.285932135603945E-15</v>
      </c>
      <c r="C123" s="8">
        <f t="shared" si="12"/>
        <v>2.7429292656853134E-3</v>
      </c>
      <c r="D123" s="8">
        <f t="shared" si="12"/>
        <v>0.31480917318095175</v>
      </c>
      <c r="E123" s="8">
        <f t="shared" si="12"/>
        <v>0.5618938591163336</v>
      </c>
      <c r="F123" s="8">
        <f t="shared" si="12"/>
        <v>0.89131485763435292</v>
      </c>
      <c r="G123" s="8">
        <f t="shared" si="12"/>
        <v>0.9441083142062523</v>
      </c>
    </row>
    <row r="124" spans="1:7" x14ac:dyDescent="0.35">
      <c r="A124" s="7">
        <v>116</v>
      </c>
      <c r="B124" s="8">
        <f t="shared" si="12"/>
        <v>3.2144491017029588E-15</v>
      </c>
      <c r="C124" s="8">
        <f t="shared" si="12"/>
        <v>2.605782802401048E-3</v>
      </c>
      <c r="D124" s="8">
        <f t="shared" si="12"/>
        <v>0.31166108144914229</v>
      </c>
      <c r="E124" s="8">
        <f t="shared" si="12"/>
        <v>0.55908438982075204</v>
      </c>
      <c r="F124" s="8">
        <f t="shared" si="12"/>
        <v>0.89042354277671854</v>
      </c>
      <c r="G124" s="8">
        <f t="shared" si="12"/>
        <v>0.94363626004914936</v>
      </c>
    </row>
    <row r="125" spans="1:7" x14ac:dyDescent="0.35">
      <c r="A125" s="7">
        <v>117</v>
      </c>
      <c r="B125" s="8">
        <f t="shared" si="12"/>
        <v>2.4108368262772192E-15</v>
      </c>
      <c r="C125" s="8">
        <f t="shared" si="12"/>
        <v>2.4754936622809957E-3</v>
      </c>
      <c r="D125" s="8">
        <f t="shared" si="12"/>
        <v>0.30854447063465085</v>
      </c>
      <c r="E125" s="8">
        <f t="shared" si="12"/>
        <v>0.55628896787164817</v>
      </c>
      <c r="F125" s="8">
        <f t="shared" si="12"/>
        <v>0.88953311923394185</v>
      </c>
      <c r="G125" s="8">
        <f t="shared" si="12"/>
        <v>0.94316444191912485</v>
      </c>
    </row>
    <row r="126" spans="1:7" x14ac:dyDescent="0.35">
      <c r="A126" s="7">
        <v>118</v>
      </c>
      <c r="B126" s="8">
        <f t="shared" si="12"/>
        <v>1.8081276197079145E-15</v>
      </c>
      <c r="C126" s="8">
        <f t="shared" si="12"/>
        <v>2.3517189791669455E-3</v>
      </c>
      <c r="D126" s="8">
        <f t="shared" si="12"/>
        <v>0.30545902592830432</v>
      </c>
      <c r="E126" s="8">
        <f t="shared" si="12"/>
        <v>0.55350752303229001</v>
      </c>
      <c r="F126" s="8">
        <f t="shared" si="12"/>
        <v>0.88864358611470795</v>
      </c>
      <c r="G126" s="8">
        <f t="shared" si="12"/>
        <v>0.9426928596981653</v>
      </c>
    </row>
    <row r="127" spans="1:7" x14ac:dyDescent="0.35">
      <c r="A127" s="7">
        <v>119</v>
      </c>
      <c r="B127" s="8">
        <f t="shared" si="12"/>
        <v>1.3560957147809358E-15</v>
      </c>
      <c r="C127" s="8">
        <f t="shared" si="12"/>
        <v>2.2341330302085988E-3</v>
      </c>
      <c r="D127" s="8">
        <f t="shared" si="12"/>
        <v>0.30240443566902125</v>
      </c>
      <c r="E127" s="8">
        <f t="shared" si="12"/>
        <v>0.55073998541712854</v>
      </c>
      <c r="F127" s="8">
        <f t="shared" si="12"/>
        <v>0.88775494252859311</v>
      </c>
      <c r="G127" s="8">
        <f t="shared" si="12"/>
        <v>0.94222151326831627</v>
      </c>
    </row>
    <row r="128" spans="1:7" x14ac:dyDescent="0.35">
      <c r="A128" s="7">
        <v>120</v>
      </c>
      <c r="B128" s="8">
        <f t="shared" ref="B128:G137" si="13">$B$4*(1-1/(2*B$6))^$A128</f>
        <v>1.017071786085702E-15</v>
      </c>
      <c r="C128" s="8">
        <f t="shared" si="13"/>
        <v>2.1224263786981689E-3</v>
      </c>
      <c r="D128" s="8">
        <f t="shared" si="13"/>
        <v>0.29938039131233107</v>
      </c>
      <c r="E128" s="8">
        <f t="shared" si="13"/>
        <v>0.54798628549004291</v>
      </c>
      <c r="F128" s="8">
        <f t="shared" si="13"/>
        <v>0.88686718758606475</v>
      </c>
      <c r="G128" s="8">
        <f t="shared" si="13"/>
        <v>0.94175040251168229</v>
      </c>
    </row>
    <row r="129" spans="1:7" x14ac:dyDescent="0.35">
      <c r="A129" s="7">
        <v>121</v>
      </c>
      <c r="B129" s="8">
        <f t="shared" si="13"/>
        <v>7.6280383956427642E-16</v>
      </c>
      <c r="C129" s="8">
        <f t="shared" si="13"/>
        <v>2.0163050597632598E-3</v>
      </c>
      <c r="D129" s="8">
        <f t="shared" si="13"/>
        <v>0.2963865873992077</v>
      </c>
      <c r="E129" s="8">
        <f t="shared" si="13"/>
        <v>0.5452463540625927</v>
      </c>
      <c r="F129" s="8">
        <f t="shared" si="13"/>
        <v>0.88598032039847863</v>
      </c>
      <c r="G129" s="8">
        <f t="shared" si="13"/>
        <v>0.94127952731042652</v>
      </c>
    </row>
    <row r="130" spans="1:7" x14ac:dyDescent="0.35">
      <c r="A130" s="7">
        <v>122</v>
      </c>
      <c r="B130" s="8">
        <f t="shared" si="13"/>
        <v>5.7210287967320731E-16</v>
      </c>
      <c r="C130" s="8">
        <f t="shared" si="13"/>
        <v>1.9154898067750973E-3</v>
      </c>
      <c r="D130" s="8">
        <f t="shared" si="13"/>
        <v>0.29342272152521565</v>
      </c>
      <c r="E130" s="8">
        <f t="shared" si="13"/>
        <v>0.54252012229227975</v>
      </c>
      <c r="F130" s="8">
        <f t="shared" si="13"/>
        <v>0.88509434007808019</v>
      </c>
      <c r="G130" s="8">
        <f t="shared" si="13"/>
        <v>0.94080888754677139</v>
      </c>
    </row>
    <row r="131" spans="1:7" x14ac:dyDescent="0.35">
      <c r="A131" s="7">
        <v>123</v>
      </c>
      <c r="B131" s="8">
        <f t="shared" si="13"/>
        <v>4.2907715975490553E-16</v>
      </c>
      <c r="C131" s="8">
        <f t="shared" si="13"/>
        <v>1.8197153164363424E-3</v>
      </c>
      <c r="D131" s="8">
        <f t="shared" si="13"/>
        <v>0.29048849430996354</v>
      </c>
      <c r="E131" s="8">
        <f t="shared" si="13"/>
        <v>0.53980752168081825</v>
      </c>
      <c r="F131" s="8">
        <f t="shared" si="13"/>
        <v>0.88420924573800197</v>
      </c>
      <c r="G131" s="8">
        <f t="shared" si="13"/>
        <v>0.94033848310299795</v>
      </c>
    </row>
    <row r="132" spans="1:7" x14ac:dyDescent="0.35">
      <c r="A132" s="7">
        <v>124</v>
      </c>
      <c r="B132" s="8">
        <f t="shared" si="13"/>
        <v>3.2180786981617912E-16</v>
      </c>
      <c r="C132" s="8">
        <f t="shared" si="13"/>
        <v>1.7287295506145249E-3</v>
      </c>
      <c r="D132" s="8">
        <f t="shared" si="13"/>
        <v>0.28758360936686383</v>
      </c>
      <c r="E132" s="8">
        <f t="shared" si="13"/>
        <v>0.53710848407241429</v>
      </c>
      <c r="F132" s="8">
        <f t="shared" si="13"/>
        <v>0.88332503649226402</v>
      </c>
      <c r="G132" s="8">
        <f t="shared" si="13"/>
        <v>0.93986831386144654</v>
      </c>
    </row>
    <row r="133" spans="1:7" x14ac:dyDescent="0.35">
      <c r="A133" s="7">
        <v>125</v>
      </c>
      <c r="B133" s="8">
        <f t="shared" si="13"/>
        <v>2.4135590236213432E-16</v>
      </c>
      <c r="C133" s="8">
        <f t="shared" si="13"/>
        <v>1.6422930730837987E-3</v>
      </c>
      <c r="D133" s="8">
        <f t="shared" si="13"/>
        <v>0.28470777327319513</v>
      </c>
      <c r="E133" s="8">
        <f t="shared" si="13"/>
        <v>0.53442294165205229</v>
      </c>
      <c r="F133" s="8">
        <f t="shared" si="13"/>
        <v>0.88244171145577177</v>
      </c>
      <c r="G133" s="8">
        <f t="shared" si="13"/>
        <v>0.93939837970451601</v>
      </c>
    </row>
    <row r="134" spans="1:7" x14ac:dyDescent="0.35">
      <c r="A134" s="7">
        <v>126</v>
      </c>
      <c r="B134" s="8">
        <f t="shared" si="13"/>
        <v>1.8101692677160076E-16</v>
      </c>
      <c r="C134" s="8">
        <f t="shared" si="13"/>
        <v>1.5601784194296088E-3</v>
      </c>
      <c r="D134" s="8">
        <f t="shared" si="13"/>
        <v>0.28186069554046328</v>
      </c>
      <c r="E134" s="8">
        <f t="shared" si="13"/>
        <v>0.53175082694379194</v>
      </c>
      <c r="F134" s="8">
        <f t="shared" si="13"/>
        <v>0.88155926974431598</v>
      </c>
      <c r="G134" s="8">
        <f t="shared" si="13"/>
        <v>0.93892868051466372</v>
      </c>
    </row>
    <row r="135" spans="1:7" x14ac:dyDescent="0.35">
      <c r="A135" s="7">
        <v>127</v>
      </c>
      <c r="B135" s="8">
        <f t="shared" si="13"/>
        <v>1.3576269507870055E-16</v>
      </c>
      <c r="C135" s="8">
        <f t="shared" si="13"/>
        <v>1.4821694984581285E-3</v>
      </c>
      <c r="D135" s="8">
        <f t="shared" si="13"/>
        <v>0.27904208858505863</v>
      </c>
      <c r="E135" s="8">
        <f t="shared" si="13"/>
        <v>0.529092072809073</v>
      </c>
      <c r="F135" s="8">
        <f t="shared" si="13"/>
        <v>0.88067771047457166</v>
      </c>
      <c r="G135" s="8">
        <f t="shared" si="13"/>
        <v>0.93845921617440642</v>
      </c>
    </row>
    <row r="136" spans="1:7" x14ac:dyDescent="0.35">
      <c r="A136" s="7">
        <v>128</v>
      </c>
      <c r="B136" s="8">
        <f t="shared" si="13"/>
        <v>1.0182202130902542E-16</v>
      </c>
      <c r="C136" s="8">
        <f t="shared" si="13"/>
        <v>1.4080610235352219E-3</v>
      </c>
      <c r="D136" s="8">
        <f t="shared" si="13"/>
        <v>0.276251667699208</v>
      </c>
      <c r="E136" s="8">
        <f t="shared" si="13"/>
        <v>0.52644661244502766</v>
      </c>
      <c r="F136" s="8">
        <f t="shared" si="13"/>
        <v>0.87979703276409715</v>
      </c>
      <c r="G136" s="8">
        <f t="shared" si="13"/>
        <v>0.93798998656631927</v>
      </c>
    </row>
    <row r="137" spans="1:7" x14ac:dyDescent="0.35">
      <c r="A137" s="7">
        <v>129</v>
      </c>
      <c r="B137" s="8">
        <f t="shared" si="13"/>
        <v>7.636651598176907E-17</v>
      </c>
      <c r="C137" s="8">
        <f t="shared" si="13"/>
        <v>1.3376579723584608E-3</v>
      </c>
      <c r="D137" s="8">
        <f t="shared" si="13"/>
        <v>0.27348915102221594</v>
      </c>
      <c r="E137" s="8">
        <f t="shared" si="13"/>
        <v>0.52381437938280251</v>
      </c>
      <c r="F137" s="8">
        <f t="shared" si="13"/>
        <v>0.87891723573133307</v>
      </c>
      <c r="G137" s="8">
        <f t="shared" si="13"/>
        <v>0.93752099157303614</v>
      </c>
    </row>
    <row r="138" spans="1:7" x14ac:dyDescent="0.35">
      <c r="A138" s="7">
        <v>130</v>
      </c>
      <c r="B138" s="8">
        <f t="shared" ref="B138:G147" si="14">$B$4*(1-1/(2*B$6))^$A138</f>
        <v>5.7274886986326799E-17</v>
      </c>
      <c r="C138" s="8">
        <f t="shared" si="14"/>
        <v>1.2707750737405378E-3</v>
      </c>
      <c r="D138" s="8">
        <f t="shared" si="14"/>
        <v>0.27075425951199378</v>
      </c>
      <c r="E138" s="8">
        <f t="shared" si="14"/>
        <v>0.52119530748588849</v>
      </c>
      <c r="F138" s="8">
        <f t="shared" si="14"/>
        <v>0.87803831849560177</v>
      </c>
      <c r="G138" s="8">
        <f t="shared" si="14"/>
        <v>0.93705223107724978</v>
      </c>
    </row>
    <row r="139" spans="1:7" x14ac:dyDescent="0.35">
      <c r="A139" s="7">
        <v>131</v>
      </c>
      <c r="B139" s="8">
        <f t="shared" si="14"/>
        <v>4.2956165239745102E-17</v>
      </c>
      <c r="C139" s="8">
        <f t="shared" si="14"/>
        <v>1.2072363200535108E-3</v>
      </c>
      <c r="D139" s="8">
        <f t="shared" si="14"/>
        <v>0.26804671691687382</v>
      </c>
      <c r="E139" s="8">
        <f t="shared" si="14"/>
        <v>0.51858933094845905</v>
      </c>
      <c r="F139" s="8">
        <f t="shared" si="14"/>
        <v>0.87716028017710612</v>
      </c>
      <c r="G139" s="8">
        <f t="shared" si="14"/>
        <v>0.93658370496171106</v>
      </c>
    </row>
    <row r="140" spans="1:7" x14ac:dyDescent="0.35">
      <c r="A140" s="7">
        <v>132</v>
      </c>
      <c r="B140" s="8">
        <f t="shared" si="14"/>
        <v>3.2217123929808822E-17</v>
      </c>
      <c r="C140" s="8">
        <f t="shared" si="14"/>
        <v>1.1468745040508353E-3</v>
      </c>
      <c r="D140" s="8">
        <f t="shared" si="14"/>
        <v>0.26536624974770506</v>
      </c>
      <c r="E140" s="8">
        <f t="shared" si="14"/>
        <v>0.51599638429371686</v>
      </c>
      <c r="F140" s="8">
        <f t="shared" si="14"/>
        <v>0.87628311989692909</v>
      </c>
      <c r="G140" s="8">
        <f t="shared" si="14"/>
        <v>0.93611541310923041</v>
      </c>
    </row>
    <row r="141" spans="1:7" x14ac:dyDescent="0.35">
      <c r="A141" s="7">
        <v>133</v>
      </c>
      <c r="B141" s="8">
        <f t="shared" si="14"/>
        <v>2.416284294735662E-17</v>
      </c>
      <c r="C141" s="8">
        <f t="shared" si="14"/>
        <v>1.0895307788482936E-3</v>
      </c>
      <c r="D141" s="8">
        <f t="shared" si="14"/>
        <v>0.262712587250228</v>
      </c>
      <c r="E141" s="8">
        <f t="shared" si="14"/>
        <v>0.51341640237224828</v>
      </c>
      <c r="F141" s="8">
        <f t="shared" si="14"/>
        <v>0.87540683677703213</v>
      </c>
      <c r="G141" s="8">
        <f t="shared" si="14"/>
        <v>0.93564735540267585</v>
      </c>
    </row>
    <row r="142" spans="1:7" x14ac:dyDescent="0.35">
      <c r="A142" s="7">
        <v>134</v>
      </c>
      <c r="B142" s="8">
        <f t="shared" si="14"/>
        <v>1.8122132210517464E-17</v>
      </c>
      <c r="C142" s="8">
        <f t="shared" si="14"/>
        <v>1.0350542399058787E-3</v>
      </c>
      <c r="D142" s="8">
        <f t="shared" si="14"/>
        <v>0.2600854613777257</v>
      </c>
      <c r="E142" s="8">
        <f t="shared" si="14"/>
        <v>0.51084932036038699</v>
      </c>
      <c r="F142" s="8">
        <f t="shared" si="14"/>
        <v>0.87453142994025512</v>
      </c>
      <c r="G142" s="8">
        <f t="shared" si="14"/>
        <v>0.93517953172497459</v>
      </c>
    </row>
    <row r="143" spans="1:7" x14ac:dyDescent="0.35">
      <c r="A143" s="7">
        <v>135</v>
      </c>
      <c r="B143" s="8">
        <f t="shared" si="14"/>
        <v>1.3591599157888099E-17</v>
      </c>
      <c r="C143" s="8">
        <f t="shared" si="14"/>
        <v>9.8330152791058483E-4</v>
      </c>
      <c r="D143" s="8">
        <f t="shared" si="14"/>
        <v>0.25748460676394846</v>
      </c>
      <c r="E143" s="8">
        <f t="shared" si="14"/>
        <v>0.50829507375858507</v>
      </c>
      <c r="F143" s="8">
        <f t="shared" si="14"/>
        <v>0.87365689851031481</v>
      </c>
      <c r="G143" s="8">
        <f t="shared" si="14"/>
        <v>0.934711941959112</v>
      </c>
    </row>
    <row r="144" spans="1:7" x14ac:dyDescent="0.35">
      <c r="A144" s="7">
        <v>136</v>
      </c>
      <c r="B144" s="8">
        <f t="shared" si="14"/>
        <v>1.0193699368416073E-17</v>
      </c>
      <c r="C144" s="8">
        <f t="shared" si="14"/>
        <v>9.3413645151505561E-4</v>
      </c>
      <c r="D144" s="8">
        <f t="shared" si="14"/>
        <v>0.254909760696309</v>
      </c>
      <c r="E144" s="8">
        <f t="shared" si="14"/>
        <v>0.50575359838979217</v>
      </c>
      <c r="F144" s="8">
        <f t="shared" si="14"/>
        <v>0.87278324161180454</v>
      </c>
      <c r="G144" s="8">
        <f t="shared" si="14"/>
        <v>0.93424458598813265</v>
      </c>
    </row>
    <row r="145" spans="1:7" x14ac:dyDescent="0.35">
      <c r="A145" s="7">
        <v>137</v>
      </c>
      <c r="B145" s="8">
        <f t="shared" si="14"/>
        <v>7.6452745263120547E-18</v>
      </c>
      <c r="C145" s="8">
        <f t="shared" si="14"/>
        <v>8.8742962893930278E-4</v>
      </c>
      <c r="D145" s="8">
        <f t="shared" si="14"/>
        <v>0.25236066308934585</v>
      </c>
      <c r="E145" s="8">
        <f t="shared" si="14"/>
        <v>0.50322483039784316</v>
      </c>
      <c r="F145" s="8">
        <f t="shared" si="14"/>
        <v>0.87191045837019276</v>
      </c>
      <c r="G145" s="8">
        <f t="shared" si="14"/>
        <v>0.9337774636951387</v>
      </c>
    </row>
    <row r="146" spans="1:7" x14ac:dyDescent="0.35">
      <c r="A146" s="7">
        <v>138</v>
      </c>
      <c r="B146" s="8">
        <f t="shared" si="14"/>
        <v>5.7339558947340414E-18</v>
      </c>
      <c r="C146" s="8">
        <f t="shared" si="14"/>
        <v>8.4305814749233772E-4</v>
      </c>
      <c r="D146" s="8">
        <f t="shared" si="14"/>
        <v>0.24983705645845242</v>
      </c>
      <c r="E146" s="8">
        <f t="shared" si="14"/>
        <v>0.50070870624585395</v>
      </c>
      <c r="F146" s="8">
        <f t="shared" si="14"/>
        <v>0.87103854791182256</v>
      </c>
      <c r="G146" s="8">
        <f t="shared" si="14"/>
        <v>0.93331057496329117</v>
      </c>
    </row>
    <row r="147" spans="1:7" x14ac:dyDescent="0.35">
      <c r="A147" s="7">
        <v>139</v>
      </c>
      <c r="B147" s="8">
        <f t="shared" si="14"/>
        <v>4.3004669210505313E-18</v>
      </c>
      <c r="C147" s="8">
        <f t="shared" si="14"/>
        <v>8.0090524011772082E-4</v>
      </c>
      <c r="D147" s="8">
        <f t="shared" si="14"/>
        <v>0.2473386858938679</v>
      </c>
      <c r="E147" s="8">
        <f t="shared" si="14"/>
        <v>0.49820516271462467</v>
      </c>
      <c r="F147" s="8">
        <f t="shared" si="14"/>
        <v>0.87016750936391074</v>
      </c>
      <c r="G147" s="8">
        <f t="shared" si="14"/>
        <v>0.93284391967580949</v>
      </c>
    </row>
    <row r="148" spans="1:7" x14ac:dyDescent="0.35">
      <c r="A148" s="7">
        <v>140</v>
      </c>
      <c r="B148" s="8">
        <f t="shared" ref="B148:G157" si="15">$B$4*(1-1/(2*B$6))^$A148</f>
        <v>3.2253501907878984E-18</v>
      </c>
      <c r="C148" s="8">
        <f t="shared" si="15"/>
        <v>7.608599781118347E-4</v>
      </c>
      <c r="D148" s="8">
        <f t="shared" si="15"/>
        <v>0.24486529903492921</v>
      </c>
      <c r="E148" s="8">
        <f t="shared" si="15"/>
        <v>0.49571413690105159</v>
      </c>
      <c r="F148" s="8">
        <f t="shared" si="15"/>
        <v>0.86929734185454688</v>
      </c>
      <c r="G148" s="8">
        <f t="shared" si="15"/>
        <v>0.93237749771597178</v>
      </c>
    </row>
    <row r="149" spans="1:7" x14ac:dyDescent="0.35">
      <c r="A149" s="7">
        <v>141</v>
      </c>
      <c r="B149" s="8">
        <f t="shared" si="15"/>
        <v>2.4190126430909238E-18</v>
      </c>
      <c r="C149" s="8">
        <f t="shared" si="15"/>
        <v>7.2281697920624293E-4</v>
      </c>
      <c r="D149" s="8">
        <f t="shared" si="15"/>
        <v>0.24241664604457991</v>
      </c>
      <c r="E149" s="8">
        <f t="shared" si="15"/>
        <v>0.49323556621654635</v>
      </c>
      <c r="F149" s="8">
        <f t="shared" si="15"/>
        <v>0.86842804451269229</v>
      </c>
      <c r="G149" s="8">
        <f t="shared" si="15"/>
        <v>0.93191130896711383</v>
      </c>
    </row>
    <row r="150" spans="1:7" x14ac:dyDescent="0.35">
      <c r="A150" s="7">
        <v>142</v>
      </c>
      <c r="B150" s="8">
        <f t="shared" si="15"/>
        <v>1.8142594823181926E-18</v>
      </c>
      <c r="C150" s="8">
        <f t="shared" si="15"/>
        <v>6.8667613024593079E-4</v>
      </c>
      <c r="D150" s="8">
        <f t="shared" si="15"/>
        <v>0.23999247958413411</v>
      </c>
      <c r="E150" s="8">
        <f t="shared" si="15"/>
        <v>0.49076938838546363</v>
      </c>
      <c r="F150" s="8">
        <f t="shared" si="15"/>
        <v>0.86755961646817958</v>
      </c>
      <c r="G150" s="8">
        <f t="shared" si="15"/>
        <v>0.93144535331263034</v>
      </c>
    </row>
    <row r="151" spans="1:7" x14ac:dyDescent="0.35">
      <c r="A151" s="7">
        <v>143</v>
      </c>
      <c r="B151" s="8">
        <f t="shared" si="15"/>
        <v>1.3606946117386445E-18</v>
      </c>
      <c r="C151" s="8">
        <f t="shared" si="15"/>
        <v>6.5234232373363428E-4</v>
      </c>
      <c r="D151" s="8">
        <f t="shared" si="15"/>
        <v>0.23759255478829278</v>
      </c>
      <c r="E151" s="8">
        <f t="shared" si="15"/>
        <v>0.48831554144353628</v>
      </c>
      <c r="F151" s="8">
        <f t="shared" si="15"/>
        <v>0.86669205685171136</v>
      </c>
      <c r="G151" s="8">
        <f t="shared" si="15"/>
        <v>0.93097963063597389</v>
      </c>
    </row>
    <row r="152" spans="1:7" x14ac:dyDescent="0.35">
      <c r="A152" s="7">
        <v>144</v>
      </c>
      <c r="B152" s="8">
        <f t="shared" si="15"/>
        <v>1.0205209588039834E-18</v>
      </c>
      <c r="C152" s="8">
        <f t="shared" si="15"/>
        <v>6.1972520754695261E-4</v>
      </c>
      <c r="D152" s="8">
        <f t="shared" si="15"/>
        <v>0.23521662924040984</v>
      </c>
      <c r="E152" s="8">
        <f t="shared" si="15"/>
        <v>0.48587396373631858</v>
      </c>
      <c r="F152" s="8">
        <f t="shared" si="15"/>
        <v>0.86582536479485972</v>
      </c>
      <c r="G152" s="8">
        <f t="shared" si="15"/>
        <v>0.93051414082065609</v>
      </c>
    </row>
    <row r="153" spans="1:7" x14ac:dyDescent="0.35">
      <c r="A153" s="7">
        <v>145</v>
      </c>
      <c r="B153" s="8">
        <f t="shared" si="15"/>
        <v>7.6539071910298756E-19</v>
      </c>
      <c r="C153" s="8">
        <f t="shared" si="15"/>
        <v>5.887389471696049E-4</v>
      </c>
      <c r="D153" s="8">
        <f t="shared" si="15"/>
        <v>0.23286446294800572</v>
      </c>
      <c r="E153" s="8">
        <f t="shared" si="15"/>
        <v>0.483444593917637</v>
      </c>
      <c r="F153" s="8">
        <f t="shared" si="15"/>
        <v>0.86495953943006487</v>
      </c>
      <c r="G153" s="8">
        <f t="shared" si="15"/>
        <v>0.93004888375024575</v>
      </c>
    </row>
    <row r="154" spans="1:7" x14ac:dyDescent="0.35">
      <c r="A154" s="7">
        <v>146</v>
      </c>
      <c r="B154" s="8">
        <f t="shared" si="15"/>
        <v>5.7404303932724072E-19</v>
      </c>
      <c r="C154" s="8">
        <f t="shared" si="15"/>
        <v>5.5930199981112474E-4</v>
      </c>
      <c r="D154" s="8">
        <f t="shared" si="15"/>
        <v>0.23053581831852568</v>
      </c>
      <c r="E154" s="8">
        <f t="shared" si="15"/>
        <v>0.48102737094804882</v>
      </c>
      <c r="F154" s="8">
        <f t="shared" si="15"/>
        <v>0.86409457989063487</v>
      </c>
      <c r="G154" s="8">
        <f t="shared" si="15"/>
        <v>0.92958385930837084</v>
      </c>
    </row>
    <row r="155" spans="1:7" x14ac:dyDescent="0.35">
      <c r="A155" s="7">
        <v>147</v>
      </c>
      <c r="B155" s="8">
        <f t="shared" si="15"/>
        <v>4.3053227949543052E-19</v>
      </c>
      <c r="C155" s="8">
        <f t="shared" si="15"/>
        <v>5.3133689982056841E-4</v>
      </c>
      <c r="D155" s="8">
        <f t="shared" si="15"/>
        <v>0.2282304601353404</v>
      </c>
      <c r="E155" s="8">
        <f t="shared" si="15"/>
        <v>0.47862223409330856</v>
      </c>
      <c r="F155" s="8">
        <f t="shared" si="15"/>
        <v>0.8632304853107442</v>
      </c>
      <c r="G155" s="8">
        <f t="shared" si="15"/>
        <v>0.92911906737871663</v>
      </c>
    </row>
    <row r="156" spans="1:7" x14ac:dyDescent="0.35">
      <c r="A156" s="7">
        <v>148</v>
      </c>
      <c r="B156" s="8">
        <f t="shared" si="15"/>
        <v>3.228992096215729E-19</v>
      </c>
      <c r="C156" s="8">
        <f t="shared" si="15"/>
        <v>5.0477005482953998E-4</v>
      </c>
      <c r="D156" s="8">
        <f t="shared" si="15"/>
        <v>0.22594815553398703</v>
      </c>
      <c r="E156" s="8">
        <f t="shared" si="15"/>
        <v>0.47622912292284203</v>
      </c>
      <c r="F156" s="8">
        <f t="shared" si="15"/>
        <v>0.86236725482543342</v>
      </c>
      <c r="G156" s="8">
        <f t="shared" si="15"/>
        <v>0.92865450784502734</v>
      </c>
    </row>
    <row r="157" spans="1:7" x14ac:dyDescent="0.35">
      <c r="A157" s="7">
        <v>149</v>
      </c>
      <c r="B157" s="8">
        <f t="shared" si="15"/>
        <v>2.4217440721617966E-19</v>
      </c>
      <c r="C157" s="8">
        <f t="shared" si="15"/>
        <v>4.7953155208806309E-4</v>
      </c>
      <c r="D157" s="8">
        <f t="shared" si="15"/>
        <v>0.22368867397864714</v>
      </c>
      <c r="E157" s="8">
        <f t="shared" si="15"/>
        <v>0.47384797730822786</v>
      </c>
      <c r="F157" s="8">
        <f t="shared" si="15"/>
        <v>0.86150488757060806</v>
      </c>
      <c r="G157" s="8">
        <f t="shared" si="15"/>
        <v>0.92819018059110492</v>
      </c>
    </row>
    <row r="158" spans="1:7" x14ac:dyDescent="0.35">
      <c r="A158" s="7">
        <v>150</v>
      </c>
      <c r="B158" s="8">
        <f t="shared" ref="B158:G167" si="16">$B$4*(1-1/(2*B$6))^$A158</f>
        <v>1.8163080541213476E-19</v>
      </c>
      <c r="C158" s="8">
        <f t="shared" si="16"/>
        <v>4.5555497448365983E-4</v>
      </c>
      <c r="D158" s="8">
        <f t="shared" si="16"/>
        <v>0.22145178723886064</v>
      </c>
      <c r="E158" s="8">
        <f t="shared" si="16"/>
        <v>0.47147873742168672</v>
      </c>
      <c r="F158" s="8">
        <f t="shared" si="16"/>
        <v>0.86064338268303753</v>
      </c>
      <c r="G158" s="8">
        <f t="shared" si="16"/>
        <v>0.92772608550080948</v>
      </c>
    </row>
    <row r="159" spans="1:7" x14ac:dyDescent="0.35">
      <c r="A159" s="7">
        <v>151</v>
      </c>
      <c r="B159" s="8">
        <f t="shared" si="16"/>
        <v>1.3622310405910106E-19</v>
      </c>
      <c r="C159" s="8">
        <f t="shared" si="16"/>
        <v>4.3277722575947689E-4</v>
      </c>
      <c r="D159" s="8">
        <f t="shared" si="16"/>
        <v>0.21923726936647206</v>
      </c>
      <c r="E159" s="8">
        <f t="shared" si="16"/>
        <v>0.46912134373457826</v>
      </c>
      <c r="F159" s="8">
        <f t="shared" si="16"/>
        <v>0.85978273930035432</v>
      </c>
      <c r="G159" s="8">
        <f t="shared" si="16"/>
        <v>0.927262222458059</v>
      </c>
    </row>
    <row r="160" spans="1:7" x14ac:dyDescent="0.35">
      <c r="A160" s="7">
        <v>152</v>
      </c>
      <c r="B160" s="8">
        <f t="shared" si="16"/>
        <v>1.0216732804432579E-19</v>
      </c>
      <c r="C160" s="8">
        <f t="shared" si="16"/>
        <v>4.1113836447150307E-4</v>
      </c>
      <c r="D160" s="8">
        <f t="shared" si="16"/>
        <v>0.21704489667280732</v>
      </c>
      <c r="E160" s="8">
        <f t="shared" si="16"/>
        <v>0.46677573701590536</v>
      </c>
      <c r="F160" s="8">
        <f t="shared" si="16"/>
        <v>0.85892295656105411</v>
      </c>
      <c r="G160" s="8">
        <f t="shared" si="16"/>
        <v>0.92679859134683018</v>
      </c>
    </row>
    <row r="161" spans="1:7" x14ac:dyDescent="0.35">
      <c r="A161" s="7">
        <v>153</v>
      </c>
      <c r="B161" s="8">
        <f t="shared" si="16"/>
        <v>7.6625496033244343E-20</v>
      </c>
      <c r="C161" s="8">
        <f t="shared" si="16"/>
        <v>3.9058144624792786E-4</v>
      </c>
      <c r="D161" s="8">
        <f t="shared" si="16"/>
        <v>0.21487444770607925</v>
      </c>
      <c r="E161" s="8">
        <f t="shared" si="16"/>
        <v>0.46444185833082585</v>
      </c>
      <c r="F161" s="8">
        <f t="shared" si="16"/>
        <v>0.85806403360449313</v>
      </c>
      <c r="G161" s="8">
        <f t="shared" si="16"/>
        <v>0.92633519205115677</v>
      </c>
    </row>
    <row r="162" spans="1:7" x14ac:dyDescent="0.35">
      <c r="A162" s="7">
        <v>154</v>
      </c>
      <c r="B162" s="8">
        <f t="shared" si="16"/>
        <v>5.7469122024933258E-20</v>
      </c>
      <c r="C162" s="8">
        <f t="shared" si="16"/>
        <v>3.7105237393553149E-4</v>
      </c>
      <c r="D162" s="8">
        <f t="shared" si="16"/>
        <v>0.21272570322901846</v>
      </c>
      <c r="E162" s="8">
        <f t="shared" si="16"/>
        <v>0.46211964903917174</v>
      </c>
      <c r="F162" s="8">
        <f t="shared" si="16"/>
        <v>0.85720596957088857</v>
      </c>
      <c r="G162" s="8">
        <f t="shared" si="16"/>
        <v>0.92587202445513128</v>
      </c>
    </row>
    <row r="163" spans="1:7" x14ac:dyDescent="0.35">
      <c r="A163" s="7">
        <v>155</v>
      </c>
      <c r="B163" s="8">
        <f t="shared" si="16"/>
        <v>4.3101841518699943E-20</v>
      </c>
      <c r="C163" s="8">
        <f t="shared" si="16"/>
        <v>3.5249975523875493E-4</v>
      </c>
      <c r="D163" s="8">
        <f t="shared" si="16"/>
        <v>0.21059844619672827</v>
      </c>
      <c r="E163" s="8">
        <f t="shared" si="16"/>
        <v>0.45980905079397583</v>
      </c>
      <c r="F163" s="8">
        <f t="shared" si="16"/>
        <v>0.85634876360131762</v>
      </c>
      <c r="G163" s="8">
        <f t="shared" si="16"/>
        <v>0.9254090884429037</v>
      </c>
    </row>
    <row r="164" spans="1:7" x14ac:dyDescent="0.35">
      <c r="A164" s="7">
        <v>156</v>
      </c>
      <c r="B164" s="8">
        <f t="shared" si="16"/>
        <v>3.2326381139024956E-20</v>
      </c>
      <c r="C164" s="8">
        <f t="shared" si="16"/>
        <v>3.348747674768171E-4</v>
      </c>
      <c r="D164" s="8">
        <f t="shared" si="16"/>
        <v>0.20849246173476096</v>
      </c>
      <c r="E164" s="8">
        <f t="shared" si="16"/>
        <v>0.45751000554000604</v>
      </c>
      <c r="F164" s="8">
        <f t="shared" si="16"/>
        <v>0.85549241483771632</v>
      </c>
      <c r="G164" s="8">
        <f t="shared" si="16"/>
        <v>0.92494638389868244</v>
      </c>
    </row>
    <row r="165" spans="1:7" x14ac:dyDescent="0.35">
      <c r="A165" s="7">
        <v>157</v>
      </c>
      <c r="B165" s="8">
        <f t="shared" si="16"/>
        <v>2.4244785854268718E-20</v>
      </c>
      <c r="C165" s="8">
        <f t="shared" si="16"/>
        <v>3.181310291029763E-4</v>
      </c>
      <c r="D165" s="8">
        <f t="shared" si="16"/>
        <v>0.20640753711741333</v>
      </c>
      <c r="E165" s="8">
        <f t="shared" si="16"/>
        <v>0.45522245551230606</v>
      </c>
      <c r="F165" s="8">
        <f t="shared" si="16"/>
        <v>0.85463692242287859</v>
      </c>
      <c r="G165" s="8">
        <f t="shared" si="16"/>
        <v>0.92448391070673319</v>
      </c>
    </row>
    <row r="166" spans="1:7" x14ac:dyDescent="0.35">
      <c r="A166" s="7">
        <v>158</v>
      </c>
      <c r="B166" s="8">
        <f t="shared" si="16"/>
        <v>1.818358939070154E-20</v>
      </c>
      <c r="C166" s="8">
        <f t="shared" si="16"/>
        <v>3.0222447764782746E-4</v>
      </c>
      <c r="D166" s="8">
        <f t="shared" si="16"/>
        <v>0.20434346174623924</v>
      </c>
      <c r="E166" s="8">
        <f t="shared" si="16"/>
        <v>0.45294634323474448</v>
      </c>
      <c r="F166" s="8">
        <f t="shared" si="16"/>
        <v>0.85378228550045576</v>
      </c>
      <c r="G166" s="8">
        <f t="shared" si="16"/>
        <v>0.92402166875137981</v>
      </c>
    </row>
    <row r="167" spans="1:7" x14ac:dyDescent="0.35">
      <c r="A167" s="7">
        <v>159</v>
      </c>
      <c r="B167" s="8">
        <f t="shared" si="16"/>
        <v>1.3637692043026153E-20</v>
      </c>
      <c r="C167" s="8">
        <f t="shared" si="16"/>
        <v>2.871132537654361E-4</v>
      </c>
      <c r="D167" s="8">
        <f t="shared" si="16"/>
        <v>0.20230002712877682</v>
      </c>
      <c r="E167" s="8">
        <f t="shared" si="16"/>
        <v>0.45068161151857072</v>
      </c>
      <c r="F167" s="8">
        <f t="shared" si="16"/>
        <v>0.85292850321495528</v>
      </c>
      <c r="G167" s="8">
        <f t="shared" si="16"/>
        <v>0.92355965791700412</v>
      </c>
    </row>
    <row r="168" spans="1:7" x14ac:dyDescent="0.35">
      <c r="A168" s="7">
        <v>160</v>
      </c>
      <c r="B168" s="8">
        <f t="shared" ref="B168:G177" si="17">$B$4*(1-1/(2*B$6))^$A168</f>
        <v>1.0228269032269615E-20</v>
      </c>
      <c r="C168" s="8">
        <f t="shared" si="17"/>
        <v>2.7275759107716431E-4</v>
      </c>
      <c r="D168" s="8">
        <f t="shared" si="17"/>
        <v>0.20027702685748905</v>
      </c>
      <c r="E168" s="8">
        <f t="shared" si="17"/>
        <v>0.44842820346097789</v>
      </c>
      <c r="F168" s="8">
        <f t="shared" si="17"/>
        <v>0.85207557471174034</v>
      </c>
      <c r="G168" s="8">
        <f t="shared" si="17"/>
        <v>0.92309787808804578</v>
      </c>
    </row>
    <row r="169" spans="1:7" x14ac:dyDescent="0.35">
      <c r="A169" s="7">
        <v>161</v>
      </c>
      <c r="B169" s="8">
        <f t="shared" si="17"/>
        <v>7.6712017742022112E-21</v>
      </c>
      <c r="C169" s="8">
        <f t="shared" si="17"/>
        <v>2.5911971152330608E-4</v>
      </c>
      <c r="D169" s="8">
        <f t="shared" si="17"/>
        <v>0.19827425658891415</v>
      </c>
      <c r="E169" s="8">
        <f t="shared" si="17"/>
        <v>0.44618606244367298</v>
      </c>
      <c r="F169" s="8">
        <f t="shared" si="17"/>
        <v>0.85122349913702855</v>
      </c>
      <c r="G169" s="8">
        <f t="shared" si="17"/>
        <v>0.92263632914900173</v>
      </c>
    </row>
    <row r="170" spans="1:7" x14ac:dyDescent="0.35">
      <c r="A170" s="7">
        <v>162</v>
      </c>
      <c r="B170" s="8">
        <f t="shared" si="17"/>
        <v>5.7534013306516584E-21</v>
      </c>
      <c r="C170" s="8">
        <f t="shared" si="17"/>
        <v>2.4616372594714081E-4</v>
      </c>
      <c r="D170" s="8">
        <f t="shared" si="17"/>
        <v>0.19629151402302503</v>
      </c>
      <c r="E170" s="8">
        <f t="shared" si="17"/>
        <v>0.4439551321314546</v>
      </c>
      <c r="F170" s="8">
        <f t="shared" si="17"/>
        <v>0.85037227563789164</v>
      </c>
      <c r="G170" s="8">
        <f t="shared" si="17"/>
        <v>0.92217501098442733</v>
      </c>
    </row>
    <row r="171" spans="1:7" x14ac:dyDescent="0.35">
      <c r="A171" s="7">
        <v>163</v>
      </c>
      <c r="B171" s="8">
        <f t="shared" si="17"/>
        <v>4.3150509979887438E-21</v>
      </c>
      <c r="C171" s="8">
        <f t="shared" si="17"/>
        <v>2.338555396497837E-4</v>
      </c>
      <c r="D171" s="8">
        <f t="shared" si="17"/>
        <v>0.19432859888279477</v>
      </c>
      <c r="E171" s="8">
        <f t="shared" si="17"/>
        <v>0.44173535647079737</v>
      </c>
      <c r="F171" s="8">
        <f t="shared" si="17"/>
        <v>0.84952190336225375</v>
      </c>
      <c r="G171" s="8">
        <f t="shared" si="17"/>
        <v>0.92171392347893522</v>
      </c>
    </row>
    <row r="172" spans="1:7" x14ac:dyDescent="0.35">
      <c r="A172" s="7">
        <v>164</v>
      </c>
      <c r="B172" s="8">
        <f t="shared" si="17"/>
        <v>3.2362882484915584E-21</v>
      </c>
      <c r="C172" s="8">
        <f t="shared" si="17"/>
        <v>2.2216276266729456E-4</v>
      </c>
      <c r="D172" s="8">
        <f t="shared" si="17"/>
        <v>0.19238531289396682</v>
      </c>
      <c r="E172" s="8">
        <f t="shared" si="17"/>
        <v>0.43952667968844339</v>
      </c>
      <c r="F172" s="8">
        <f t="shared" si="17"/>
        <v>0.84867238145889146</v>
      </c>
      <c r="G172" s="8">
        <f t="shared" si="17"/>
        <v>0.92125306651719585</v>
      </c>
    </row>
    <row r="173" spans="1:7" x14ac:dyDescent="0.35">
      <c r="A173" s="7">
        <v>165</v>
      </c>
      <c r="B173" s="8">
        <f t="shared" si="17"/>
        <v>2.4272161863686688E-21</v>
      </c>
      <c r="C173" s="8">
        <f t="shared" si="17"/>
        <v>2.1105462453392982E-4</v>
      </c>
      <c r="D173" s="8">
        <f t="shared" si="17"/>
        <v>0.19046145976502715</v>
      </c>
      <c r="E173" s="8">
        <f t="shared" si="17"/>
        <v>0.43732904629000124</v>
      </c>
      <c r="F173" s="8">
        <f t="shared" si="17"/>
        <v>0.84782370907743254</v>
      </c>
      <c r="G173" s="8">
        <f t="shared" si="17"/>
        <v>0.92079243998393734</v>
      </c>
    </row>
    <row r="174" spans="1:7" x14ac:dyDescent="0.35">
      <c r="A174" s="7">
        <v>166</v>
      </c>
      <c r="B174" s="8">
        <f t="shared" si="17"/>
        <v>1.8204121397765013E-21</v>
      </c>
      <c r="C174" s="8">
        <f t="shared" si="17"/>
        <v>2.0050189330723332E-4</v>
      </c>
      <c r="D174" s="8">
        <f t="shared" si="17"/>
        <v>0.18855684516737689</v>
      </c>
      <c r="E174" s="8">
        <f t="shared" si="17"/>
        <v>0.43514240105855118</v>
      </c>
      <c r="F174" s="8">
        <f t="shared" si="17"/>
        <v>0.84697588536835522</v>
      </c>
      <c r="G174" s="8">
        <f t="shared" si="17"/>
        <v>0.9203320437639454</v>
      </c>
    </row>
    <row r="175" spans="1:7" x14ac:dyDescent="0.35">
      <c r="A175" s="7">
        <v>167</v>
      </c>
      <c r="B175" s="8">
        <f t="shared" si="17"/>
        <v>1.365309104832376E-21</v>
      </c>
      <c r="C175" s="8">
        <f t="shared" si="17"/>
        <v>1.9047679864187168E-4</v>
      </c>
      <c r="D175" s="8">
        <f t="shared" si="17"/>
        <v>0.1866712767157031</v>
      </c>
      <c r="E175" s="8">
        <f t="shared" si="17"/>
        <v>0.43296668905325841</v>
      </c>
      <c r="F175" s="8">
        <f t="shared" si="17"/>
        <v>0.8461289094829868</v>
      </c>
      <c r="G175" s="8">
        <f t="shared" si="17"/>
        <v>0.91987187774206336</v>
      </c>
    </row>
    <row r="176" spans="1:7" x14ac:dyDescent="0.35">
      <c r="A176" s="7">
        <v>168</v>
      </c>
      <c r="B176" s="8">
        <f t="shared" si="17"/>
        <v>1.0239818286242821E-21</v>
      </c>
      <c r="C176" s="8">
        <f t="shared" si="17"/>
        <v>1.8095295870977811E-4</v>
      </c>
      <c r="D176" s="8">
        <f t="shared" si="17"/>
        <v>0.18480456394854605</v>
      </c>
      <c r="E176" s="8">
        <f t="shared" si="17"/>
        <v>0.43080185560799211</v>
      </c>
      <c r="F176" s="8">
        <f t="shared" si="17"/>
        <v>0.84528278057350381</v>
      </c>
      <c r="G176" s="8">
        <f t="shared" si="17"/>
        <v>0.91941194180319252</v>
      </c>
    </row>
    <row r="177" spans="1:7" x14ac:dyDescent="0.35">
      <c r="A177" s="7">
        <v>169</v>
      </c>
      <c r="B177" s="8">
        <f t="shared" si="17"/>
        <v>7.6798637146821156E-22</v>
      </c>
      <c r="C177" s="8">
        <f t="shared" si="17"/>
        <v>1.7190531077428917E-4</v>
      </c>
      <c r="D177" s="8">
        <f t="shared" si="17"/>
        <v>0.1829565183090606</v>
      </c>
      <c r="E177" s="8">
        <f t="shared" si="17"/>
        <v>0.42864784632995212</v>
      </c>
      <c r="F177" s="8">
        <f t="shared" si="17"/>
        <v>0.84443749779293031</v>
      </c>
      <c r="G177" s="8">
        <f t="shared" si="17"/>
        <v>0.91895223583229091</v>
      </c>
    </row>
    <row r="178" spans="1:7" x14ac:dyDescent="0.35">
      <c r="A178" s="7">
        <v>170</v>
      </c>
      <c r="B178" s="8">
        <f t="shared" ref="B178:G187" si="18">$B$4*(1-1/(2*B$6))^$A178</f>
        <v>5.7598977860115872E-22</v>
      </c>
      <c r="C178" s="8">
        <f t="shared" si="18"/>
        <v>1.6331004523557473E-4</v>
      </c>
      <c r="D178" s="8">
        <f t="shared" si="18"/>
        <v>0.18112695312596999</v>
      </c>
      <c r="E178" s="8">
        <f t="shared" si="18"/>
        <v>0.4265046070983024</v>
      </c>
      <c r="F178" s="8">
        <f t="shared" si="18"/>
        <v>0.84359306029513748</v>
      </c>
      <c r="G178" s="8">
        <f t="shared" si="18"/>
        <v>0.91849275971437483</v>
      </c>
    </row>
    <row r="179" spans="1:7" x14ac:dyDescent="0.35">
      <c r="A179" s="7">
        <v>171</v>
      </c>
      <c r="B179" s="8">
        <f t="shared" si="18"/>
        <v>4.3199233395086897E-22</v>
      </c>
      <c r="C179" s="8">
        <f t="shared" si="18"/>
        <v>1.5514454297379596E-4</v>
      </c>
      <c r="D179" s="8">
        <f t="shared" si="18"/>
        <v>0.17931568359471028</v>
      </c>
      <c r="E179" s="8">
        <f t="shared" si="18"/>
        <v>0.42437208406281085</v>
      </c>
      <c r="F179" s="8">
        <f t="shared" si="18"/>
        <v>0.84274946723484234</v>
      </c>
      <c r="G179" s="8">
        <f t="shared" si="18"/>
        <v>0.91803351333451766</v>
      </c>
    </row>
    <row r="180" spans="1:7" x14ac:dyDescent="0.35">
      <c r="A180" s="7">
        <v>172</v>
      </c>
      <c r="B180" s="8">
        <f t="shared" si="18"/>
        <v>3.2399425046315175E-22</v>
      </c>
      <c r="C180" s="8">
        <f t="shared" si="18"/>
        <v>1.4738731582510616E-4</v>
      </c>
      <c r="D180" s="8">
        <f t="shared" si="18"/>
        <v>0.1775225267587632</v>
      </c>
      <c r="E180" s="8">
        <f t="shared" si="18"/>
        <v>0.42225022364249687</v>
      </c>
      <c r="F180" s="8">
        <f t="shared" si="18"/>
        <v>0.84190671776760739</v>
      </c>
      <c r="G180" s="8">
        <f t="shared" si="18"/>
        <v>0.91757449657785051</v>
      </c>
    </row>
    <row r="181" spans="1:7" x14ac:dyDescent="0.35">
      <c r="A181" s="7">
        <v>173</v>
      </c>
      <c r="B181" s="8">
        <f t="shared" si="18"/>
        <v>2.4299568784736381E-22</v>
      </c>
      <c r="C181" s="8">
        <f t="shared" si="18"/>
        <v>1.4001795003385086E-4</v>
      </c>
      <c r="D181" s="8">
        <f t="shared" si="18"/>
        <v>0.17574730149117554</v>
      </c>
      <c r="E181" s="8">
        <f t="shared" si="18"/>
        <v>0.42013897252428439</v>
      </c>
      <c r="F181" s="8">
        <f t="shared" si="18"/>
        <v>0.84106481104983977</v>
      </c>
      <c r="G181" s="8">
        <f t="shared" si="18"/>
        <v>0.91711570932956166</v>
      </c>
    </row>
    <row r="182" spans="1:7" x14ac:dyDescent="0.35">
      <c r="A182" s="7">
        <v>174</v>
      </c>
      <c r="B182" s="8">
        <f t="shared" si="18"/>
        <v>1.8224676588552287E-22</v>
      </c>
      <c r="C182" s="8">
        <f t="shared" si="18"/>
        <v>1.3301705253215831E-4</v>
      </c>
      <c r="D182" s="8">
        <f t="shared" si="18"/>
        <v>0.17398982847626379</v>
      </c>
      <c r="E182" s="8">
        <f t="shared" si="18"/>
        <v>0.41803827766166302</v>
      </c>
      <c r="F182" s="8">
        <f t="shared" si="18"/>
        <v>0.84022374623879004</v>
      </c>
      <c r="G182" s="8">
        <f t="shared" si="18"/>
        <v>0.9166571514748969</v>
      </c>
    </row>
    <row r="183" spans="1:7" x14ac:dyDescent="0.35">
      <c r="A183" s="7">
        <v>175</v>
      </c>
      <c r="B183" s="8">
        <f t="shared" si="18"/>
        <v>1.3668507441414215E-22</v>
      </c>
      <c r="C183" s="8">
        <f t="shared" si="18"/>
        <v>1.2636619990555041E-4</v>
      </c>
      <c r="D183" s="8">
        <f t="shared" si="18"/>
        <v>0.17224993019150114</v>
      </c>
      <c r="E183" s="8">
        <f t="shared" si="18"/>
        <v>0.41594808627335467</v>
      </c>
      <c r="F183" s="8">
        <f t="shared" si="18"/>
        <v>0.8393835224925511</v>
      </c>
      <c r="G183" s="8">
        <f t="shared" si="18"/>
        <v>0.91619882289915944</v>
      </c>
    </row>
    <row r="184" spans="1:7" x14ac:dyDescent="0.35">
      <c r="A184" s="7">
        <v>176</v>
      </c>
      <c r="B184" s="8">
        <f t="shared" si="18"/>
        <v>1.0251380581060661E-22</v>
      </c>
      <c r="C184" s="8">
        <f t="shared" si="18"/>
        <v>1.2004788991027288E-4</v>
      </c>
      <c r="D184" s="8">
        <f t="shared" si="18"/>
        <v>0.17052743088958613</v>
      </c>
      <c r="E184" s="8">
        <f t="shared" si="18"/>
        <v>0.41386834584198789</v>
      </c>
      <c r="F184" s="8">
        <f t="shared" si="18"/>
        <v>0.83854413897005875</v>
      </c>
      <c r="G184" s="8">
        <f t="shared" si="18"/>
        <v>0.91574072348771007</v>
      </c>
    </row>
    <row r="185" spans="1:7" x14ac:dyDescent="0.35">
      <c r="A185" s="7">
        <v>177</v>
      </c>
      <c r="B185" s="8">
        <f t="shared" si="18"/>
        <v>7.6885354357954958E-23</v>
      </c>
      <c r="C185" s="8">
        <f t="shared" si="18"/>
        <v>1.1404549541475923E-4</v>
      </c>
      <c r="D185" s="8">
        <f t="shared" si="18"/>
        <v>0.16882215658069027</v>
      </c>
      <c r="E185" s="8">
        <f t="shared" si="18"/>
        <v>0.41179900411277792</v>
      </c>
      <c r="F185" s="8">
        <f t="shared" si="18"/>
        <v>0.83770559483108864</v>
      </c>
      <c r="G185" s="8">
        <f t="shared" si="18"/>
        <v>0.91528285312596613</v>
      </c>
    </row>
    <row r="186" spans="1:7" x14ac:dyDescent="0.35">
      <c r="A186" s="7">
        <v>178</v>
      </c>
      <c r="B186" s="8">
        <f t="shared" si="18"/>
        <v>5.7664015768466221E-23</v>
      </c>
      <c r="C186" s="8">
        <f t="shared" si="18"/>
        <v>1.0834322064402127E-4</v>
      </c>
      <c r="D186" s="8">
        <f t="shared" si="18"/>
        <v>0.16713393501488336</v>
      </c>
      <c r="E186" s="8">
        <f t="shared" si="18"/>
        <v>0.40974000909221403</v>
      </c>
      <c r="F186" s="8">
        <f t="shared" si="18"/>
        <v>0.83686788923625754</v>
      </c>
      <c r="G186" s="8">
        <f t="shared" si="18"/>
        <v>0.91482521169940334</v>
      </c>
    </row>
    <row r="187" spans="1:7" x14ac:dyDescent="0.35">
      <c r="A187" s="7">
        <v>179</v>
      </c>
      <c r="B187" s="8">
        <f t="shared" si="18"/>
        <v>4.3248011826349663E-23</v>
      </c>
      <c r="C187" s="8">
        <f t="shared" si="18"/>
        <v>1.029260596118202E-4</v>
      </c>
      <c r="D187" s="8">
        <f t="shared" si="18"/>
        <v>0.16546259566473454</v>
      </c>
      <c r="E187" s="8">
        <f t="shared" si="18"/>
        <v>0.40769130904675294</v>
      </c>
      <c r="F187" s="8">
        <f t="shared" si="18"/>
        <v>0.83603102134702134</v>
      </c>
      <c r="G187" s="8">
        <f t="shared" si="18"/>
        <v>0.91436779909355359</v>
      </c>
    </row>
    <row r="188" spans="1:7" x14ac:dyDescent="0.35">
      <c r="A188" s="7">
        <v>180</v>
      </c>
      <c r="B188" s="8">
        <f t="shared" ref="B188:G197" si="19">$B$4*(1-1/(2*B$6))^$A188</f>
        <v>3.2436008869762243E-23</v>
      </c>
      <c r="C188" s="8">
        <f t="shared" si="19"/>
        <v>9.7779756631229188E-5</v>
      </c>
      <c r="D188" s="8">
        <f t="shared" si="19"/>
        <v>0.1638079697080872</v>
      </c>
      <c r="E188" s="8">
        <f t="shared" si="19"/>
        <v>0.40565285250151922</v>
      </c>
      <c r="F188" s="8">
        <f t="shared" si="19"/>
        <v>0.83519499032567424</v>
      </c>
      <c r="G188" s="8">
        <f t="shared" si="19"/>
        <v>0.91391061519400696</v>
      </c>
    </row>
    <row r="189" spans="1:7" x14ac:dyDescent="0.35">
      <c r="A189" s="7">
        <v>181</v>
      </c>
      <c r="B189" s="8">
        <f t="shared" si="19"/>
        <v>2.4327006652321686E-23</v>
      </c>
      <c r="C189" s="8">
        <f t="shared" si="19"/>
        <v>9.2890768799667753E-5</v>
      </c>
      <c r="D189" s="8">
        <f t="shared" si="19"/>
        <v>0.16216989001100632</v>
      </c>
      <c r="E189" s="8">
        <f t="shared" si="19"/>
        <v>0.40362458823901159</v>
      </c>
      <c r="F189" s="8">
        <f t="shared" si="19"/>
        <v>0.83435979533534865</v>
      </c>
      <c r="G189" s="8">
        <f t="shared" si="19"/>
        <v>0.91345365988641003</v>
      </c>
    </row>
    <row r="190" spans="1:7" x14ac:dyDescent="0.35">
      <c r="A190" s="7">
        <v>182</v>
      </c>
      <c r="B190" s="8">
        <f t="shared" si="19"/>
        <v>1.8245254989241264E-23</v>
      </c>
      <c r="C190" s="8">
        <f t="shared" si="19"/>
        <v>8.8246230359684339E-5</v>
      </c>
      <c r="D190" s="8">
        <f t="shared" si="19"/>
        <v>0.16054819111089624</v>
      </c>
      <c r="E190" s="8">
        <f t="shared" si="19"/>
        <v>0.40160646529781657</v>
      </c>
      <c r="F190" s="8">
        <f t="shared" si="19"/>
        <v>0.83352543554001335</v>
      </c>
      <c r="G190" s="8">
        <f t="shared" si="19"/>
        <v>0.9129969330564669</v>
      </c>
    </row>
    <row r="191" spans="1:7" x14ac:dyDescent="0.35">
      <c r="A191" s="7">
        <v>183</v>
      </c>
      <c r="B191" s="8">
        <f t="shared" si="19"/>
        <v>1.3683941241930947E-23</v>
      </c>
      <c r="C191" s="8">
        <f t="shared" si="19"/>
        <v>8.3833918841700136E-5</v>
      </c>
      <c r="D191" s="8">
        <f t="shared" si="19"/>
        <v>0.15894270919978729</v>
      </c>
      <c r="E191" s="8">
        <f t="shared" si="19"/>
        <v>0.39959843297132747</v>
      </c>
      <c r="F191" s="8">
        <f t="shared" si="19"/>
        <v>0.83269191010447319</v>
      </c>
      <c r="G191" s="8">
        <f t="shared" si="19"/>
        <v>0.91254043458993872</v>
      </c>
    </row>
    <row r="192" spans="1:7" x14ac:dyDescent="0.35">
      <c r="A192" s="7">
        <v>184</v>
      </c>
      <c r="B192" s="8">
        <f t="shared" si="19"/>
        <v>1.0262955931448211E-23</v>
      </c>
      <c r="C192" s="8">
        <f t="shared" si="19"/>
        <v>7.9642222899615128E-5</v>
      </c>
      <c r="D192" s="8">
        <f t="shared" si="19"/>
        <v>0.1573532821077894</v>
      </c>
      <c r="E192" s="8">
        <f t="shared" si="19"/>
        <v>0.39760044080647089</v>
      </c>
      <c r="F192" s="8">
        <f t="shared" si="19"/>
        <v>0.83185921819436892</v>
      </c>
      <c r="G192" s="8">
        <f t="shared" si="19"/>
        <v>0.91208416437264384</v>
      </c>
    </row>
    <row r="193" spans="1:7" x14ac:dyDescent="0.35">
      <c r="A193" s="7">
        <v>185</v>
      </c>
      <c r="B193" s="8">
        <f t="shared" si="19"/>
        <v>7.6972169485861584E-24</v>
      </c>
      <c r="C193" s="8">
        <f t="shared" si="19"/>
        <v>7.5660111754634359E-5</v>
      </c>
      <c r="D193" s="8">
        <f t="shared" si="19"/>
        <v>0.15577974928671148</v>
      </c>
      <c r="E193" s="8">
        <f t="shared" si="19"/>
        <v>0.3956124386024385</v>
      </c>
      <c r="F193" s="8">
        <f t="shared" si="19"/>
        <v>0.83102735897617441</v>
      </c>
      <c r="G193" s="8">
        <f t="shared" si="19"/>
        <v>0.91162812229045764</v>
      </c>
    </row>
    <row r="194" spans="1:7" x14ac:dyDescent="0.35">
      <c r="A194" s="7">
        <v>186</v>
      </c>
      <c r="B194" s="8">
        <f t="shared" si="19"/>
        <v>5.7729127114396185E-24</v>
      </c>
      <c r="C194" s="8">
        <f t="shared" si="19"/>
        <v>7.1877106166902651E-5</v>
      </c>
      <c r="D194" s="8">
        <f t="shared" si="19"/>
        <v>0.15422195179384438</v>
      </c>
      <c r="E194" s="8">
        <f t="shared" si="19"/>
        <v>0.39363437640942633</v>
      </c>
      <c r="F194" s="8">
        <f t="shared" si="19"/>
        <v>0.8301963316171983</v>
      </c>
      <c r="G194" s="8">
        <f t="shared" si="19"/>
        <v>0.9111723082293125</v>
      </c>
    </row>
    <row r="195" spans="1:7" x14ac:dyDescent="0.35">
      <c r="A195" s="7">
        <v>187</v>
      </c>
      <c r="B195" s="8">
        <f t="shared" si="19"/>
        <v>4.3296845335797138E-24</v>
      </c>
      <c r="C195" s="8">
        <f t="shared" si="19"/>
        <v>6.8283250858557529E-5</v>
      </c>
      <c r="D195" s="8">
        <f t="shared" si="19"/>
        <v>0.15267973227590595</v>
      </c>
      <c r="E195" s="8">
        <f t="shared" si="19"/>
        <v>0.39166620452737916</v>
      </c>
      <c r="F195" s="8">
        <f t="shared" si="19"/>
        <v>0.82936613528558101</v>
      </c>
      <c r="G195" s="8">
        <f t="shared" si="19"/>
        <v>0.91071672207519772</v>
      </c>
    </row>
    <row r="196" spans="1:7" x14ac:dyDescent="0.35">
      <c r="A196" s="7">
        <v>188</v>
      </c>
      <c r="B196" s="8">
        <f t="shared" si="19"/>
        <v>3.2472634001847854E-24</v>
      </c>
      <c r="C196" s="8">
        <f t="shared" si="19"/>
        <v>6.4869088315629636E-5</v>
      </c>
      <c r="D196" s="8">
        <f t="shared" si="19"/>
        <v>0.15115293495314686</v>
      </c>
      <c r="E196" s="8">
        <f t="shared" si="19"/>
        <v>0.38970787350474234</v>
      </c>
      <c r="F196" s="8">
        <f t="shared" si="19"/>
        <v>0.8285367691502955</v>
      </c>
      <c r="G196" s="8">
        <f t="shared" si="19"/>
        <v>0.91026136371416033</v>
      </c>
    </row>
    <row r="197" spans="1:7" x14ac:dyDescent="0.35">
      <c r="A197" s="7">
        <v>189</v>
      </c>
      <c r="B197" s="8">
        <f t="shared" si="19"/>
        <v>2.4354475501385889E-24</v>
      </c>
      <c r="C197" s="8">
        <f t="shared" si="19"/>
        <v>6.1625633899848161E-5</v>
      </c>
      <c r="D197" s="8">
        <f t="shared" si="19"/>
        <v>0.14964140560361539</v>
      </c>
      <c r="E197" s="8">
        <f t="shared" si="19"/>
        <v>0.38775933413721869</v>
      </c>
      <c r="F197" s="8">
        <f t="shared" si="19"/>
        <v>0.82770823238114521</v>
      </c>
      <c r="G197" s="8">
        <f t="shared" si="19"/>
        <v>0.90980623303230335</v>
      </c>
    </row>
    <row r="198" spans="1:7" x14ac:dyDescent="0.35">
      <c r="A198" s="7">
        <v>190</v>
      </c>
      <c r="B198" s="8">
        <f t="shared" ref="B198:G208" si="20">$B$4*(1-1/(2*B$6))^$A198</f>
        <v>1.8265856626039421E-24</v>
      </c>
      <c r="C198" s="8">
        <f t="shared" si="20"/>
        <v>5.8544352204855748E-5</v>
      </c>
      <c r="D198" s="8">
        <f t="shared" si="20"/>
        <v>0.14814499154757926</v>
      </c>
      <c r="E198" s="8">
        <f t="shared" si="20"/>
        <v>0.3858205374665325</v>
      </c>
      <c r="F198" s="8">
        <f t="shared" si="20"/>
        <v>0.82688052414876401</v>
      </c>
      <c r="G198" s="8">
        <f t="shared" si="20"/>
        <v>0.90935132991578727</v>
      </c>
    </row>
    <row r="199" spans="1:7" x14ac:dyDescent="0.35">
      <c r="A199" s="7">
        <v>191</v>
      </c>
      <c r="B199" s="8">
        <f t="shared" si="20"/>
        <v>1.3699392469529563E-24</v>
      </c>
      <c r="C199" s="8">
        <f t="shared" si="20"/>
        <v>5.5617134594612968E-5</v>
      </c>
      <c r="D199" s="8">
        <f t="shared" si="20"/>
        <v>0.14666354163210346</v>
      </c>
      <c r="E199" s="8">
        <f t="shared" si="20"/>
        <v>0.38389143477919985</v>
      </c>
      <c r="F199" s="8">
        <f t="shared" si="20"/>
        <v>0.8260536436246152</v>
      </c>
      <c r="G199" s="8">
        <f t="shared" si="20"/>
        <v>0.90889665425082933</v>
      </c>
    </row>
    <row r="200" spans="1:7" x14ac:dyDescent="0.35">
      <c r="A200" s="7">
        <v>192</v>
      </c>
      <c r="B200" s="8">
        <f t="shared" si="20"/>
        <v>1.0274544352147172E-24</v>
      </c>
      <c r="C200" s="8">
        <f t="shared" si="20"/>
        <v>5.2836277864882315E-5</v>
      </c>
      <c r="D200" s="8">
        <f t="shared" si="20"/>
        <v>0.14519690621578241</v>
      </c>
      <c r="E200" s="8">
        <f t="shared" si="20"/>
        <v>0.38197197760530383</v>
      </c>
      <c r="F200" s="8">
        <f t="shared" si="20"/>
        <v>0.82522758998099066</v>
      </c>
      <c r="G200" s="8">
        <f t="shared" si="20"/>
        <v>0.90844220592370395</v>
      </c>
    </row>
    <row r="201" spans="1:7" x14ac:dyDescent="0.35">
      <c r="A201" s="7">
        <v>193</v>
      </c>
      <c r="B201" s="8">
        <f t="shared" si="20"/>
        <v>7.70590826411038E-25</v>
      </c>
      <c r="C201" s="8">
        <f t="shared" si="20"/>
        <v>5.0194463971638196E-5</v>
      </c>
      <c r="D201" s="8">
        <f t="shared" si="20"/>
        <v>0.1437449371536246</v>
      </c>
      <c r="E201" s="8">
        <f t="shared" si="20"/>
        <v>0.38006211771727733</v>
      </c>
      <c r="F201" s="8">
        <f t="shared" si="20"/>
        <v>0.82440236239100972</v>
      </c>
      <c r="G201" s="8">
        <f t="shared" si="20"/>
        <v>0.90798798482074217</v>
      </c>
    </row>
    <row r="202" spans="1:7" x14ac:dyDescent="0.35">
      <c r="A202" s="7">
        <v>194</v>
      </c>
      <c r="B202" s="8">
        <f t="shared" si="20"/>
        <v>5.7794311980827843E-25</v>
      </c>
      <c r="C202" s="8">
        <f t="shared" si="20"/>
        <v>4.7684740773056285E-5</v>
      </c>
      <c r="D202" s="8">
        <f t="shared" si="20"/>
        <v>0.14230748778208835</v>
      </c>
      <c r="E202" s="8">
        <f t="shared" si="20"/>
        <v>0.37816180712869091</v>
      </c>
      <c r="F202" s="8">
        <f t="shared" si="20"/>
        <v>0.82357796002861872</v>
      </c>
      <c r="G202" s="8">
        <f t="shared" si="20"/>
        <v>0.90753399082833186</v>
      </c>
    </row>
    <row r="203" spans="1:7" x14ac:dyDescent="0.35">
      <c r="A203" s="7">
        <v>195</v>
      </c>
      <c r="B203" s="8">
        <f t="shared" si="20"/>
        <v>4.3345733985620882E-25</v>
      </c>
      <c r="C203" s="8">
        <f t="shared" si="20"/>
        <v>4.5300503734403463E-5</v>
      </c>
      <c r="D203" s="8">
        <f t="shared" si="20"/>
        <v>0.14088441290426745</v>
      </c>
      <c r="E203" s="8">
        <f t="shared" si="20"/>
        <v>0.37627099809304748</v>
      </c>
      <c r="F203" s="8">
        <f t="shared" si="20"/>
        <v>0.82275438206858997</v>
      </c>
      <c r="G203" s="8">
        <f t="shared" si="20"/>
        <v>0.90708022383291764</v>
      </c>
    </row>
    <row r="204" spans="1:7" x14ac:dyDescent="0.35">
      <c r="A204" s="7">
        <v>196</v>
      </c>
      <c r="B204" s="8">
        <f t="shared" si="20"/>
        <v>3.2509300489215666E-25</v>
      </c>
      <c r="C204" s="8">
        <f t="shared" si="20"/>
        <v>4.3035478547683296E-5</v>
      </c>
      <c r="D204" s="8">
        <f t="shared" si="20"/>
        <v>0.1394755687752248</v>
      </c>
      <c r="E204" s="8">
        <f t="shared" si="20"/>
        <v>0.37438964310258227</v>
      </c>
      <c r="F204" s="8">
        <f t="shared" si="20"/>
        <v>0.8219316276865215</v>
      </c>
      <c r="G204" s="8">
        <f t="shared" si="20"/>
        <v>0.90662668372100141</v>
      </c>
    </row>
    <row r="205" spans="1:7" x14ac:dyDescent="0.35">
      <c r="A205" s="7">
        <v>197</v>
      </c>
      <c r="B205" s="8">
        <f t="shared" si="20"/>
        <v>2.4381975366911749E-25</v>
      </c>
      <c r="C205" s="8">
        <f t="shared" si="20"/>
        <v>4.0883704620299135E-5</v>
      </c>
      <c r="D205" s="8">
        <f t="shared" si="20"/>
        <v>0.13808081308747253</v>
      </c>
      <c r="E205" s="8">
        <f t="shared" si="20"/>
        <v>0.37251769488706937</v>
      </c>
      <c r="F205" s="8">
        <f t="shared" si="20"/>
        <v>0.82110969605883488</v>
      </c>
      <c r="G205" s="8">
        <f t="shared" si="20"/>
        <v>0.90617337037914092</v>
      </c>
    </row>
    <row r="206" spans="1:7" x14ac:dyDescent="0.35">
      <c r="A206" s="7">
        <v>198</v>
      </c>
      <c r="B206" s="8">
        <f t="shared" si="20"/>
        <v>1.8286481525183811E-25</v>
      </c>
      <c r="C206" s="8">
        <f t="shared" si="20"/>
        <v>3.8839519389284171E-5</v>
      </c>
      <c r="D206" s="8">
        <f t="shared" si="20"/>
        <v>0.13670000495659779</v>
      </c>
      <c r="E206" s="8">
        <f t="shared" si="20"/>
        <v>0.37065510641263399</v>
      </c>
      <c r="F206" s="8">
        <f t="shared" si="20"/>
        <v>0.82028858636277624</v>
      </c>
      <c r="G206" s="8">
        <f t="shared" si="20"/>
        <v>0.90572028369395152</v>
      </c>
    </row>
    <row r="207" spans="1:7" x14ac:dyDescent="0.35">
      <c r="A207" s="7">
        <v>199</v>
      </c>
      <c r="B207" s="8">
        <f t="shared" si="20"/>
        <v>1.3714861143887859E-25</v>
      </c>
      <c r="C207" s="8">
        <f t="shared" si="20"/>
        <v>3.6897543419819962E-5</v>
      </c>
      <c r="D207" s="8">
        <f t="shared" si="20"/>
        <v>0.13533300490703182</v>
      </c>
      <c r="E207" s="8">
        <f t="shared" si="20"/>
        <v>0.36880183088057084</v>
      </c>
      <c r="F207" s="8">
        <f t="shared" si="20"/>
        <v>0.81946829777641328</v>
      </c>
      <c r="G207" s="8">
        <f t="shared" si="20"/>
        <v>0.90526742355210443</v>
      </c>
    </row>
    <row r="208" spans="1:7" x14ac:dyDescent="0.35">
      <c r="A208" s="7">
        <v>200</v>
      </c>
      <c r="B208" s="8">
        <f t="shared" si="20"/>
        <v>1.0286145857915893E-25</v>
      </c>
      <c r="C208" s="8">
        <f t="shared" si="20"/>
        <v>3.505266624882897E-5</v>
      </c>
      <c r="D208" s="8">
        <f t="shared" si="20"/>
        <v>0.13397967485796147</v>
      </c>
      <c r="E208" s="8">
        <f t="shared" si="20"/>
        <v>0.36695782172616803</v>
      </c>
      <c r="F208" s="8">
        <f t="shared" si="20"/>
        <v>0.81864882947863693</v>
      </c>
      <c r="G208" s="8">
        <f t="shared" si="20"/>
        <v>0.90481478984032848</v>
      </c>
    </row>
    <row r="211" spans="1:3" ht="15.5" x14ac:dyDescent="0.35">
      <c r="A211" s="1" t="s">
        <v>6</v>
      </c>
    </row>
    <row r="212" spans="1:3" x14ac:dyDescent="0.35">
      <c r="A212" s="3" t="s">
        <v>7</v>
      </c>
      <c r="B212" s="4">
        <v>100</v>
      </c>
    </row>
    <row r="213" spans="1:3" x14ac:dyDescent="0.35">
      <c r="A213" s="5" t="s">
        <v>4</v>
      </c>
      <c r="B213" s="5" t="s">
        <v>8</v>
      </c>
      <c r="C213" s="5" t="s">
        <v>9</v>
      </c>
    </row>
    <row r="214" spans="1:3" x14ac:dyDescent="0.35">
      <c r="A214" s="7">
        <f>B$6</f>
        <v>2</v>
      </c>
      <c r="B214" s="9">
        <f>INDEX(B$8:B$208,MATCH($B$212,$A$8:$A$208,0))</f>
        <v>3.2072021853815043E-13</v>
      </c>
      <c r="C214" s="9">
        <f t="shared" ref="C214:C219" si="21">1-B214</f>
        <v>0.99999999999967926</v>
      </c>
    </row>
    <row r="215" spans="1:3" x14ac:dyDescent="0.35">
      <c r="A215" s="7">
        <f>C$6</f>
        <v>10</v>
      </c>
      <c r="B215" s="9">
        <f>INDEX(C$8:C$208,MATCH($B$212,$A$8:$A$208,0))</f>
        <v>5.9205292203340209E-3</v>
      </c>
      <c r="C215" s="9">
        <f t="shared" si="21"/>
        <v>0.99407947077966596</v>
      </c>
    </row>
    <row r="216" spans="1:3" x14ac:dyDescent="0.35">
      <c r="A216" s="7">
        <f>D$6</f>
        <v>50</v>
      </c>
      <c r="B216" s="9">
        <f>INDEX(D$8:D$208,MATCH($B$212,$A$8:$A$208,0))</f>
        <v>0.36603234127322892</v>
      </c>
      <c r="C216" s="9">
        <f t="shared" si="21"/>
        <v>0.63396765872677108</v>
      </c>
    </row>
    <row r="217" spans="1:3" x14ac:dyDescent="0.35">
      <c r="A217" s="7">
        <f>E$6</f>
        <v>100</v>
      </c>
      <c r="B217" s="9">
        <f>INDEX(E$8:E$208,MATCH($B$212,$A$8:$A$208,0))</f>
        <v>0.6057704364907287</v>
      </c>
      <c r="C217" s="9">
        <f t="shared" si="21"/>
        <v>0.3942295635092713</v>
      </c>
    </row>
    <row r="218" spans="1:3" x14ac:dyDescent="0.35">
      <c r="A218" s="7">
        <f>F$6</f>
        <v>500</v>
      </c>
      <c r="B218" s="9">
        <f>INDEX(F$8:F$208,MATCH($B$212,$A$8:$A$208,0))</f>
        <v>0.9047921471137097</v>
      </c>
      <c r="C218" s="9">
        <f t="shared" si="21"/>
        <v>9.5207852886290301E-2</v>
      </c>
    </row>
    <row r="219" spans="1:3" x14ac:dyDescent="0.35">
      <c r="A219" s="7">
        <f>G$6</f>
        <v>1000</v>
      </c>
      <c r="B219" s="9">
        <f>INDEX(G$8:G$208,MATCH($B$212,$A$8:$A$208,0))</f>
        <v>0.95121753024233557</v>
      </c>
      <c r="C219" s="9">
        <f t="shared" si="21"/>
        <v>4.8782469757664426E-2</v>
      </c>
    </row>
    <row r="221" spans="1:3" x14ac:dyDescent="0.35">
      <c r="A221" s="2" t="s">
        <v>10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6328125" defaultRowHeight="14.5" x14ac:dyDescent="0.35"/>
  <cols>
    <col min="1" max="1" width="24" customWidth="1"/>
    <col min="2" max="5" width="12" customWidth="1"/>
  </cols>
  <sheetData>
    <row r="1" spans="1:5" ht="15.5" x14ac:dyDescent="0.35">
      <c r="A1" s="1" t="s">
        <v>11</v>
      </c>
    </row>
    <row r="2" spans="1:5" x14ac:dyDescent="0.35">
      <c r="A2" s="2" t="s">
        <v>12</v>
      </c>
    </row>
    <row r="6" spans="1:5" x14ac:dyDescent="0.35">
      <c r="A6" s="3" t="s">
        <v>13</v>
      </c>
      <c r="B6" s="10">
        <v>0.01</v>
      </c>
      <c r="C6" s="10">
        <v>0.05</v>
      </c>
      <c r="D6" s="10">
        <v>0.1</v>
      </c>
      <c r="E6" s="10">
        <v>0.2</v>
      </c>
    </row>
    <row r="7" spans="1:5" x14ac:dyDescent="0.35">
      <c r="A7" s="5" t="s">
        <v>14</v>
      </c>
      <c r="B7" s="6" t="str">
        <f>"q' = "&amp;TEXT(B6,"0.00")</f>
        <v>q' = 0.01</v>
      </c>
      <c r="C7" s="6" t="str">
        <f>"q' = "&amp;TEXT(C6,"0.00")</f>
        <v>q' = 0.05</v>
      </c>
      <c r="D7" s="6" t="str">
        <f>"q' = "&amp;TEXT(D6,"0.00")</f>
        <v>q' = 0.10</v>
      </c>
      <c r="E7" s="6" t="str">
        <f>"q' = "&amp;TEXT(E6,"0.00")</f>
        <v>q' = 0.20</v>
      </c>
    </row>
    <row r="8" spans="1:5" x14ac:dyDescent="0.35">
      <c r="A8" s="7">
        <v>2</v>
      </c>
      <c r="B8" s="8">
        <f t="shared" ref="B8:E27" si="0">1-(1-B$6)^(2*$A8)</f>
        <v>3.9403990000000055E-2</v>
      </c>
      <c r="C8" s="8">
        <f t="shared" si="0"/>
        <v>0.18549375000000001</v>
      </c>
      <c r="D8" s="8">
        <f t="shared" si="0"/>
        <v>0.34389999999999987</v>
      </c>
      <c r="E8" s="8">
        <f t="shared" si="0"/>
        <v>0.59039999999999981</v>
      </c>
    </row>
    <row r="9" spans="1:5" x14ac:dyDescent="0.35">
      <c r="A9" s="7">
        <v>3</v>
      </c>
      <c r="B9" s="8">
        <f t="shared" si="0"/>
        <v>5.8519850599000112E-2</v>
      </c>
      <c r="C9" s="8">
        <f t="shared" si="0"/>
        <v>0.26490810937500009</v>
      </c>
      <c r="D9" s="8">
        <f t="shared" si="0"/>
        <v>0.46855899999999984</v>
      </c>
      <c r="E9" s="8">
        <f t="shared" si="0"/>
        <v>0.73785599999999985</v>
      </c>
    </row>
    <row r="10" spans="1:5" x14ac:dyDescent="0.35">
      <c r="A10" s="7">
        <v>4</v>
      </c>
      <c r="B10" s="8">
        <f t="shared" si="0"/>
        <v>7.7255305572080046E-2</v>
      </c>
      <c r="C10" s="8">
        <f t="shared" si="0"/>
        <v>0.33657956871093753</v>
      </c>
      <c r="D10" s="8">
        <f t="shared" si="0"/>
        <v>0.56953278999999979</v>
      </c>
      <c r="E10" s="8">
        <f t="shared" si="0"/>
        <v>0.83222783999999983</v>
      </c>
    </row>
    <row r="11" spans="1:5" x14ac:dyDescent="0.35">
      <c r="A11" s="7">
        <v>5</v>
      </c>
      <c r="B11" s="8">
        <f t="shared" si="0"/>
        <v>9.5617924991195702E-2</v>
      </c>
      <c r="C11" s="8">
        <f t="shared" si="0"/>
        <v>0.4012630607616211</v>
      </c>
      <c r="D11" s="8">
        <f t="shared" si="0"/>
        <v>0.65132155989999985</v>
      </c>
      <c r="E11" s="8">
        <f t="shared" si="0"/>
        <v>0.89262581759999993</v>
      </c>
    </row>
    <row r="12" spans="1:5" x14ac:dyDescent="0.35">
      <c r="A12" s="7">
        <v>6</v>
      </c>
      <c r="B12" s="8">
        <f t="shared" si="0"/>
        <v>0.11361512828387088</v>
      </c>
      <c r="C12" s="8">
        <f t="shared" si="0"/>
        <v>0.45963991233736312</v>
      </c>
      <c r="D12" s="8">
        <f t="shared" si="0"/>
        <v>0.71757046351899989</v>
      </c>
      <c r="E12" s="8">
        <f t="shared" si="0"/>
        <v>0.9312805232639999</v>
      </c>
    </row>
    <row r="13" spans="1:5" x14ac:dyDescent="0.35">
      <c r="A13" s="7">
        <v>7</v>
      </c>
      <c r="B13" s="8">
        <f t="shared" si="0"/>
        <v>0.13125418723102189</v>
      </c>
      <c r="C13" s="8">
        <f t="shared" si="0"/>
        <v>0.51232502088447029</v>
      </c>
      <c r="D13" s="8">
        <f t="shared" si="0"/>
        <v>0.77123207545038985</v>
      </c>
      <c r="E13" s="8">
        <f t="shared" si="0"/>
        <v>0.95601953488895997</v>
      </c>
    </row>
    <row r="14" spans="1:5" x14ac:dyDescent="0.35">
      <c r="A14" s="7">
        <v>8</v>
      </c>
      <c r="B14" s="8">
        <f t="shared" si="0"/>
        <v>0.14854222890512458</v>
      </c>
      <c r="C14" s="8">
        <f t="shared" si="0"/>
        <v>0.55987333134823436</v>
      </c>
      <c r="D14" s="8">
        <f t="shared" si="0"/>
        <v>0.81469798111481573</v>
      </c>
      <c r="E14" s="8">
        <f t="shared" si="0"/>
        <v>0.97185250232893439</v>
      </c>
    </row>
    <row r="15" spans="1:5" x14ac:dyDescent="0.35">
      <c r="A15" s="7">
        <v>9</v>
      </c>
      <c r="B15" s="8">
        <f t="shared" si="0"/>
        <v>0.16548623854991262</v>
      </c>
      <c r="C15" s="8">
        <f t="shared" si="0"/>
        <v>0.60278568154178158</v>
      </c>
      <c r="D15" s="8">
        <f t="shared" si="0"/>
        <v>0.84990536470300082</v>
      </c>
      <c r="E15" s="8">
        <f t="shared" si="0"/>
        <v>0.98198560149051795</v>
      </c>
    </row>
    <row r="16" spans="1:5" x14ac:dyDescent="0.35">
      <c r="A16" s="7">
        <v>10</v>
      </c>
      <c r="B16" s="8">
        <f t="shared" si="0"/>
        <v>0.18209306240276935</v>
      </c>
      <c r="C16" s="8">
        <f t="shared" si="0"/>
        <v>0.64151407759145784</v>
      </c>
      <c r="D16" s="8">
        <f t="shared" si="0"/>
        <v>0.87842334540943057</v>
      </c>
      <c r="E16" s="8">
        <f t="shared" si="0"/>
        <v>0.98847078495393148</v>
      </c>
    </row>
    <row r="17" spans="1:5" x14ac:dyDescent="0.35">
      <c r="A17" s="7">
        <v>11</v>
      </c>
      <c r="B17" s="8">
        <f t="shared" si="0"/>
        <v>0.19836941046095435</v>
      </c>
      <c r="C17" s="8">
        <f t="shared" si="0"/>
        <v>0.67646645502629066</v>
      </c>
      <c r="D17" s="8">
        <f t="shared" si="0"/>
        <v>0.90152290978163874</v>
      </c>
      <c r="E17" s="8">
        <f t="shared" si="0"/>
        <v>0.99262130237051616</v>
      </c>
    </row>
    <row r="18" spans="1:5" x14ac:dyDescent="0.35">
      <c r="A18" s="7">
        <v>12</v>
      </c>
      <c r="B18" s="8">
        <f t="shared" si="0"/>
        <v>0.21432185919278135</v>
      </c>
      <c r="C18" s="8">
        <f t="shared" si="0"/>
        <v>0.70801097566122739</v>
      </c>
      <c r="D18" s="8">
        <f t="shared" si="0"/>
        <v>0.92023355692312736</v>
      </c>
      <c r="E18" s="8">
        <f t="shared" si="0"/>
        <v>0.99527763351713039</v>
      </c>
    </row>
    <row r="19" spans="1:5" x14ac:dyDescent="0.35">
      <c r="A19" s="7">
        <v>13</v>
      </c>
      <c r="B19" s="8">
        <f t="shared" si="0"/>
        <v>0.22995685419484502</v>
      </c>
      <c r="C19" s="8">
        <f t="shared" si="0"/>
        <v>0.73647990553425768</v>
      </c>
      <c r="D19" s="8">
        <f t="shared" si="0"/>
        <v>0.93538918110773317</v>
      </c>
      <c r="E19" s="8">
        <f t="shared" si="0"/>
        <v>0.99697768545096344</v>
      </c>
    </row>
    <row r="20" spans="1:5" x14ac:dyDescent="0.35">
      <c r="A20" s="7">
        <v>14</v>
      </c>
      <c r="B20" s="8">
        <f t="shared" si="0"/>
        <v>0.24528071279636765</v>
      </c>
      <c r="C20" s="8">
        <f t="shared" si="0"/>
        <v>0.76217311474466753</v>
      </c>
      <c r="D20" s="8">
        <f t="shared" si="0"/>
        <v>0.94766523669726388</v>
      </c>
      <c r="E20" s="8">
        <f t="shared" si="0"/>
        <v>0.9980657186886166</v>
      </c>
    </row>
    <row r="21" spans="1:5" x14ac:dyDescent="0.35">
      <c r="A21" s="7">
        <v>15</v>
      </c>
      <c r="B21" s="8">
        <f t="shared" si="0"/>
        <v>0.2602996266117199</v>
      </c>
      <c r="C21" s="8">
        <f t="shared" si="0"/>
        <v>0.78536123605706254</v>
      </c>
      <c r="D21" s="8">
        <f t="shared" si="0"/>
        <v>0.95760884172478378</v>
      </c>
      <c r="E21" s="8">
        <f t="shared" si="0"/>
        <v>0.99876205996071465</v>
      </c>
    </row>
    <row r="22" spans="1:5" x14ac:dyDescent="0.35">
      <c r="A22" s="7">
        <v>16</v>
      </c>
      <c r="B22" s="8">
        <f t="shared" si="0"/>
        <v>0.27501966404214673</v>
      </c>
      <c r="C22" s="8">
        <f t="shared" si="0"/>
        <v>0.80628851554149894</v>
      </c>
      <c r="D22" s="8">
        <f t="shared" si="0"/>
        <v>0.96566316179707479</v>
      </c>
      <c r="E22" s="8">
        <f t="shared" si="0"/>
        <v>0.99920771837485733</v>
      </c>
    </row>
    <row r="23" spans="1:5" x14ac:dyDescent="0.35">
      <c r="A23" s="7">
        <v>17</v>
      </c>
      <c r="B23" s="8">
        <f t="shared" si="0"/>
        <v>0.28944677272770802</v>
      </c>
      <c r="C23" s="8">
        <f t="shared" si="0"/>
        <v>0.82517538527620271</v>
      </c>
      <c r="D23" s="8">
        <f t="shared" si="0"/>
        <v>0.97218716105563063</v>
      </c>
      <c r="E23" s="8">
        <f t="shared" si="0"/>
        <v>0.99949293975990872</v>
      </c>
    </row>
    <row r="24" spans="1:5" x14ac:dyDescent="0.35">
      <c r="A24" s="7">
        <v>18</v>
      </c>
      <c r="B24" s="8">
        <f t="shared" si="0"/>
        <v>0.30358678195042665</v>
      </c>
      <c r="C24" s="8">
        <f t="shared" si="0"/>
        <v>0.84222078521177302</v>
      </c>
      <c r="D24" s="8">
        <f t="shared" si="0"/>
        <v>0.97747160045506076</v>
      </c>
      <c r="E24" s="8">
        <f t="shared" si="0"/>
        <v>0.99967548144634155</v>
      </c>
    </row>
    <row r="25" spans="1:5" x14ac:dyDescent="0.35">
      <c r="A25" s="7">
        <v>19</v>
      </c>
      <c r="B25" s="8">
        <f t="shared" si="0"/>
        <v>0.31744540498961316</v>
      </c>
      <c r="C25" s="8">
        <f t="shared" si="0"/>
        <v>0.85760425865362511</v>
      </c>
      <c r="D25" s="8">
        <f t="shared" si="0"/>
        <v>0.98175199636859922</v>
      </c>
      <c r="E25" s="8">
        <f t="shared" si="0"/>
        <v>0.99979230812565856</v>
      </c>
    </row>
    <row r="26" spans="1:5" x14ac:dyDescent="0.35">
      <c r="A26" s="7">
        <v>20</v>
      </c>
      <c r="B26" s="8">
        <f t="shared" si="0"/>
        <v>0.33102824143031995</v>
      </c>
      <c r="C26" s="8">
        <f t="shared" si="0"/>
        <v>0.87148784343489671</v>
      </c>
      <c r="D26" s="8">
        <f t="shared" si="0"/>
        <v>0.98521911705856535</v>
      </c>
      <c r="E26" s="8">
        <f t="shared" si="0"/>
        <v>0.99986707720042156</v>
      </c>
    </row>
    <row r="27" spans="1:5" x14ac:dyDescent="0.35">
      <c r="A27" s="7">
        <v>21</v>
      </c>
      <c r="B27" s="8">
        <f t="shared" si="0"/>
        <v>0.34434077942585661</v>
      </c>
      <c r="C27" s="8">
        <f t="shared" si="0"/>
        <v>0.88401777869999421</v>
      </c>
      <c r="D27" s="8">
        <f t="shared" si="0"/>
        <v>0.98802748481743796</v>
      </c>
      <c r="E27" s="8">
        <f t="shared" si="0"/>
        <v>0.99991492940826976</v>
      </c>
    </row>
    <row r="28" spans="1:5" x14ac:dyDescent="0.35">
      <c r="A28" s="7">
        <v>22</v>
      </c>
      <c r="B28" s="8">
        <f t="shared" ref="B28:E47" si="1">1-(1-B$6)^(2*$A28)</f>
        <v>0.35738839791528199</v>
      </c>
      <c r="C28" s="8">
        <f t="shared" si="1"/>
        <v>0.89532604527674486</v>
      </c>
      <c r="D28" s="8">
        <f t="shared" si="1"/>
        <v>0.99030226270212474</v>
      </c>
      <c r="E28" s="8">
        <f t="shared" si="1"/>
        <v>0.99994555482129266</v>
      </c>
    </row>
    <row r="29" spans="1:5" x14ac:dyDescent="0.35">
      <c r="A29" s="7">
        <v>23</v>
      </c>
      <c r="B29" s="8">
        <f t="shared" si="1"/>
        <v>0.37017636879676796</v>
      </c>
      <c r="C29" s="8">
        <f t="shared" si="1"/>
        <v>0.9055317558622622</v>
      </c>
      <c r="D29" s="8">
        <f t="shared" si="1"/>
        <v>0.99214483278872101</v>
      </c>
      <c r="E29" s="8">
        <f t="shared" si="1"/>
        <v>0.99996515508562733</v>
      </c>
    </row>
    <row r="30" spans="1:5" x14ac:dyDescent="0.35">
      <c r="A30" s="7">
        <v>24</v>
      </c>
      <c r="B30" s="8">
        <f t="shared" si="1"/>
        <v>0.38270985905771226</v>
      </c>
      <c r="C30" s="8">
        <f t="shared" si="1"/>
        <v>0.91474240966569165</v>
      </c>
      <c r="D30" s="8">
        <f t="shared" si="1"/>
        <v>0.99363731455886406</v>
      </c>
      <c r="E30" s="8">
        <f t="shared" si="1"/>
        <v>0.99997769925480151</v>
      </c>
    </row>
    <row r="31" spans="1:5" x14ac:dyDescent="0.35">
      <c r="A31" s="7">
        <v>25</v>
      </c>
      <c r="B31" s="8">
        <f t="shared" si="1"/>
        <v>0.39499393286246387</v>
      </c>
      <c r="C31" s="8">
        <f t="shared" si="1"/>
        <v>0.92305502472328671</v>
      </c>
      <c r="D31" s="8">
        <f t="shared" si="1"/>
        <v>0.99484622479267992</v>
      </c>
      <c r="E31" s="8">
        <f t="shared" si="1"/>
        <v>0.99998572752307291</v>
      </c>
    </row>
    <row r="32" spans="1:5" x14ac:dyDescent="0.35">
      <c r="A32" s="7">
        <v>26</v>
      </c>
      <c r="B32" s="8">
        <f t="shared" si="1"/>
        <v>0.4070335535985008</v>
      </c>
      <c r="C32" s="8">
        <f t="shared" si="1"/>
        <v>0.93055715981276621</v>
      </c>
      <c r="D32" s="8">
        <f t="shared" si="1"/>
        <v>0.99582544208207069</v>
      </c>
      <c r="E32" s="8">
        <f t="shared" si="1"/>
        <v>0.99999086561476669</v>
      </c>
    </row>
    <row r="33" spans="1:5" x14ac:dyDescent="0.35">
      <c r="A33" s="7">
        <v>27</v>
      </c>
      <c r="B33" s="8">
        <f t="shared" si="1"/>
        <v>0.41883358588189068</v>
      </c>
      <c r="C33" s="8">
        <f t="shared" si="1"/>
        <v>0.9373278367310216</v>
      </c>
      <c r="D33" s="8">
        <f t="shared" si="1"/>
        <v>0.99661860808647729</v>
      </c>
      <c r="E33" s="8">
        <f t="shared" si="1"/>
        <v>0.99999415399345071</v>
      </c>
    </row>
    <row r="34" spans="1:5" x14ac:dyDescent="0.35">
      <c r="A34" s="7">
        <v>28</v>
      </c>
      <c r="B34" s="8">
        <f t="shared" si="1"/>
        <v>0.43039879752284105</v>
      </c>
      <c r="C34" s="8">
        <f t="shared" si="1"/>
        <v>0.94343837264974695</v>
      </c>
      <c r="D34" s="8">
        <f t="shared" si="1"/>
        <v>0.99726107255004659</v>
      </c>
      <c r="E34" s="8">
        <f t="shared" si="1"/>
        <v>0.99999625855580843</v>
      </c>
    </row>
    <row r="35" spans="1:5" x14ac:dyDescent="0.35">
      <c r="A35" s="7">
        <v>29</v>
      </c>
      <c r="B35" s="8">
        <f t="shared" si="1"/>
        <v>0.44173386145213656</v>
      </c>
      <c r="C35" s="8">
        <f t="shared" si="1"/>
        <v>0.94895313131639658</v>
      </c>
      <c r="D35" s="8">
        <f t="shared" si="1"/>
        <v>0.99778146876553775</v>
      </c>
      <c r="E35" s="8">
        <f t="shared" si="1"/>
        <v>0.99999760547571737</v>
      </c>
    </row>
    <row r="36" spans="1:5" x14ac:dyDescent="0.35">
      <c r="A36" s="7">
        <v>30</v>
      </c>
      <c r="B36" s="8">
        <f t="shared" si="1"/>
        <v>0.45284335760923911</v>
      </c>
      <c r="C36" s="8">
        <f t="shared" si="1"/>
        <v>0.95393020101304793</v>
      </c>
      <c r="D36" s="8">
        <f t="shared" si="1"/>
        <v>0.99820298970008559</v>
      </c>
      <c r="E36" s="8">
        <f t="shared" si="1"/>
        <v>0.99999846750445909</v>
      </c>
    </row>
    <row r="37" spans="1:5" x14ac:dyDescent="0.35">
      <c r="A37" s="7">
        <v>31</v>
      </c>
      <c r="B37" s="8">
        <f t="shared" si="1"/>
        <v>0.46373177479281513</v>
      </c>
      <c r="C37" s="8">
        <f t="shared" si="1"/>
        <v>0.95842200641427577</v>
      </c>
      <c r="D37" s="8">
        <f t="shared" si="1"/>
        <v>0.99854442165706936</v>
      </c>
      <c r="E37" s="8">
        <f t="shared" si="1"/>
        <v>0.99999901920285383</v>
      </c>
    </row>
    <row r="38" spans="1:5" x14ac:dyDescent="0.35">
      <c r="A38" s="7">
        <v>32</v>
      </c>
      <c r="B38" s="8">
        <f t="shared" si="1"/>
        <v>0.47440351247443824</v>
      </c>
      <c r="C38" s="8">
        <f t="shared" si="1"/>
        <v>0.96247586078888392</v>
      </c>
      <c r="D38" s="8">
        <f t="shared" si="1"/>
        <v>0.99882098154222609</v>
      </c>
      <c r="E38" s="8">
        <f t="shared" si="1"/>
        <v>0.99999937228982649</v>
      </c>
    </row>
    <row r="39" spans="1:5" x14ac:dyDescent="0.35">
      <c r="A39" s="7">
        <v>33</v>
      </c>
      <c r="B39" s="8">
        <f t="shared" si="1"/>
        <v>0.48486288257619692</v>
      </c>
      <c r="C39" s="8">
        <f t="shared" si="1"/>
        <v>0.9661344643619677</v>
      </c>
      <c r="D39" s="8">
        <f t="shared" si="1"/>
        <v>0.99904499504920319</v>
      </c>
      <c r="E39" s="8">
        <f t="shared" si="1"/>
        <v>0.9999995982654889</v>
      </c>
    </row>
    <row r="40" spans="1:5" x14ac:dyDescent="0.35">
      <c r="A40" s="7">
        <v>34</v>
      </c>
      <c r="B40" s="8">
        <f t="shared" si="1"/>
        <v>0.49511411121293059</v>
      </c>
      <c r="C40" s="8">
        <f t="shared" si="1"/>
        <v>0.96943635408667583</v>
      </c>
      <c r="D40" s="8">
        <f t="shared" si="1"/>
        <v>0.99922644598985455</v>
      </c>
      <c r="E40" s="8">
        <f t="shared" si="1"/>
        <v>0.99999974288991289</v>
      </c>
    </row>
    <row r="41" spans="1:5" x14ac:dyDescent="0.35">
      <c r="A41" s="7">
        <v>35</v>
      </c>
      <c r="B41" s="8">
        <f t="shared" si="1"/>
        <v>0.50516134039979332</v>
      </c>
      <c r="C41" s="8">
        <f t="shared" si="1"/>
        <v>0.972416309563225</v>
      </c>
      <c r="D41" s="8">
        <f t="shared" si="1"/>
        <v>0.99937342125178219</v>
      </c>
      <c r="E41" s="8">
        <f t="shared" si="1"/>
        <v>0.99999983544954429</v>
      </c>
    </row>
    <row r="42" spans="1:5" x14ac:dyDescent="0.35">
      <c r="A42" s="7">
        <v>36</v>
      </c>
      <c r="B42" s="8">
        <f t="shared" si="1"/>
        <v>0.5150086297258375</v>
      </c>
      <c r="C42" s="8">
        <f t="shared" si="1"/>
        <v>0.97510571938081048</v>
      </c>
      <c r="D42" s="8">
        <f t="shared" si="1"/>
        <v>0.99949247121394358</v>
      </c>
      <c r="E42" s="8">
        <f t="shared" si="1"/>
        <v>0.99999989468770834</v>
      </c>
    </row>
    <row r="43" spans="1:5" x14ac:dyDescent="0.35">
      <c r="A43" s="7">
        <v>37</v>
      </c>
      <c r="B43" s="8">
        <f t="shared" si="1"/>
        <v>0.52465995799429332</v>
      </c>
      <c r="C43" s="8">
        <f t="shared" si="1"/>
        <v>0.97753291174118151</v>
      </c>
      <c r="D43" s="8">
        <f t="shared" si="1"/>
        <v>0.99958890168329428</v>
      </c>
      <c r="E43" s="8">
        <f t="shared" si="1"/>
        <v>0.99999993260013331</v>
      </c>
    </row>
    <row r="44" spans="1:5" x14ac:dyDescent="0.35">
      <c r="A44" s="7">
        <v>38</v>
      </c>
      <c r="B44" s="8">
        <f t="shared" si="1"/>
        <v>0.53411922483020691</v>
      </c>
      <c r="C44" s="8">
        <f t="shared" si="1"/>
        <v>0.97972345284641627</v>
      </c>
      <c r="D44" s="8">
        <f t="shared" si="1"/>
        <v>0.99966701036346839</v>
      </c>
      <c r="E44" s="8">
        <f t="shared" si="1"/>
        <v>0.99999995686408538</v>
      </c>
    </row>
    <row r="45" spans="1:5" x14ac:dyDescent="0.35">
      <c r="A45" s="7">
        <v>39</v>
      </c>
      <c r="B45" s="8">
        <f t="shared" si="1"/>
        <v>0.54339025225608584</v>
      </c>
      <c r="C45" s="8">
        <f t="shared" si="1"/>
        <v>0.9817004161938907</v>
      </c>
      <c r="D45" s="8">
        <f t="shared" si="1"/>
        <v>0.99973027839440942</v>
      </c>
      <c r="E45" s="8">
        <f t="shared" si="1"/>
        <v>0.99999997239301464</v>
      </c>
    </row>
    <row r="46" spans="1:5" x14ac:dyDescent="0.35">
      <c r="A46" s="7">
        <v>40</v>
      </c>
      <c r="B46" s="8">
        <f t="shared" si="1"/>
        <v>0.55247678623618968</v>
      </c>
      <c r="C46" s="8">
        <f t="shared" si="1"/>
        <v>0.9834846256149864</v>
      </c>
      <c r="D46" s="8">
        <f t="shared" si="1"/>
        <v>0.99978152549947163</v>
      </c>
      <c r="E46" s="8">
        <f t="shared" si="1"/>
        <v>0.99999998233152931</v>
      </c>
    </row>
    <row r="47" spans="1:5" x14ac:dyDescent="0.35">
      <c r="A47" s="7">
        <v>41</v>
      </c>
      <c r="B47" s="8">
        <f t="shared" si="1"/>
        <v>0.56138249819008945</v>
      </c>
      <c r="C47" s="8">
        <f t="shared" si="1"/>
        <v>0.98509487461752521</v>
      </c>
      <c r="D47" s="8">
        <f t="shared" si="1"/>
        <v>0.99982303565457198</v>
      </c>
      <c r="E47" s="8">
        <f t="shared" si="1"/>
        <v>0.99999998869217877</v>
      </c>
    </row>
    <row r="48" spans="1:5" x14ac:dyDescent="0.35">
      <c r="A48" s="7">
        <v>42</v>
      </c>
      <c r="B48" s="8">
        <f t="shared" ref="B48:E56" si="2">1-(1-B$6)^(2*$A48)</f>
        <v>0.5701109864761067</v>
      </c>
      <c r="C48" s="8">
        <f t="shared" si="2"/>
        <v>0.98654812434231653</v>
      </c>
      <c r="D48" s="8">
        <f t="shared" si="2"/>
        <v>0.99985665888020336</v>
      </c>
      <c r="E48" s="8">
        <f t="shared" si="2"/>
        <v>0.99999999276299445</v>
      </c>
    </row>
    <row r="49" spans="1:5" x14ac:dyDescent="0.35">
      <c r="A49" s="7">
        <v>43</v>
      </c>
      <c r="B49" s="8">
        <f t="shared" si="2"/>
        <v>0.57866577784523221</v>
      </c>
      <c r="C49" s="8">
        <f t="shared" si="2"/>
        <v>0.9878596822189406</v>
      </c>
      <c r="D49" s="8">
        <f t="shared" si="2"/>
        <v>0.99988389369296471</v>
      </c>
      <c r="E49" s="8">
        <f t="shared" si="2"/>
        <v>0.99999999536831641</v>
      </c>
    </row>
    <row r="50" spans="1:5" x14ac:dyDescent="0.35">
      <c r="A50" s="7">
        <v>44</v>
      </c>
      <c r="B50" s="8">
        <f t="shared" si="2"/>
        <v>0.58705032886611219</v>
      </c>
      <c r="C50" s="8">
        <f t="shared" si="2"/>
        <v>0.98904336320259389</v>
      </c>
      <c r="D50" s="8">
        <f t="shared" si="2"/>
        <v>0.99990595389130144</v>
      </c>
      <c r="E50" s="8">
        <f t="shared" si="2"/>
        <v>0.99999999703572251</v>
      </c>
    </row>
    <row r="51" spans="1:5" x14ac:dyDescent="0.35">
      <c r="A51" s="7">
        <v>45</v>
      </c>
      <c r="B51" s="8">
        <f t="shared" si="2"/>
        <v>0.5952680273216765</v>
      </c>
      <c r="C51" s="8">
        <f t="shared" si="2"/>
        <v>0.99011163529034096</v>
      </c>
      <c r="D51" s="8">
        <f t="shared" si="2"/>
        <v>0.99992382265195412</v>
      </c>
      <c r="E51" s="8">
        <f t="shared" si="2"/>
        <v>0.99999999810286244</v>
      </c>
    </row>
    <row r="52" spans="1:5" x14ac:dyDescent="0.35">
      <c r="A52" s="7">
        <v>46</v>
      </c>
      <c r="B52" s="8">
        <f t="shared" si="2"/>
        <v>0.60332219357797512</v>
      </c>
      <c r="C52" s="8">
        <f t="shared" si="2"/>
        <v>0.99107575084953281</v>
      </c>
      <c r="D52" s="8">
        <f t="shared" si="2"/>
        <v>0.99993829634808284</v>
      </c>
      <c r="E52" s="8">
        <f t="shared" si="2"/>
        <v>0.9999999987858319</v>
      </c>
    </row>
    <row r="53" spans="1:5" x14ac:dyDescent="0.35">
      <c r="A53" s="7">
        <v>47</v>
      </c>
      <c r="B53" s="8">
        <f t="shared" si="2"/>
        <v>0.61121608192577348</v>
      </c>
      <c r="C53" s="8">
        <f t="shared" si="2"/>
        <v>0.99194586514170335</v>
      </c>
      <c r="D53" s="8">
        <f t="shared" si="2"/>
        <v>0.99995002004194711</v>
      </c>
      <c r="E53" s="8">
        <f t="shared" si="2"/>
        <v>0.99999999922293248</v>
      </c>
    </row>
    <row r="54" spans="1:5" x14ac:dyDescent="0.35">
      <c r="A54" s="7">
        <v>48</v>
      </c>
      <c r="B54" s="8">
        <f t="shared" si="2"/>
        <v>0.61895288189545061</v>
      </c>
      <c r="C54" s="8">
        <f t="shared" si="2"/>
        <v>0.99273114329038725</v>
      </c>
      <c r="D54" s="8">
        <f t="shared" si="2"/>
        <v>0.99995951623397716</v>
      </c>
      <c r="E54" s="8">
        <f t="shared" si="2"/>
        <v>0.99999999950267682</v>
      </c>
    </row>
    <row r="55" spans="1:5" x14ac:dyDescent="0.35">
      <c r="A55" s="7">
        <v>49</v>
      </c>
      <c r="B55" s="8">
        <f t="shared" si="2"/>
        <v>0.62653571954573106</v>
      </c>
      <c r="C55" s="8">
        <f t="shared" si="2"/>
        <v>0.99343985681957447</v>
      </c>
      <c r="D55" s="8">
        <f t="shared" si="2"/>
        <v>0.99996720814952145</v>
      </c>
      <c r="E55" s="8">
        <f t="shared" si="2"/>
        <v>0.99999999968171316</v>
      </c>
    </row>
    <row r="56" spans="1:5" x14ac:dyDescent="0.35">
      <c r="A56" s="7">
        <v>50</v>
      </c>
      <c r="B56" s="8">
        <f t="shared" si="2"/>
        <v>0.63396765872677108</v>
      </c>
      <c r="C56" s="8">
        <f t="shared" si="2"/>
        <v>0.99407947077966596</v>
      </c>
      <c r="D56" s="8">
        <f t="shared" si="2"/>
        <v>0.99997343860111243</v>
      </c>
      <c r="E56" s="8">
        <f t="shared" si="2"/>
        <v>0.99999999979629639</v>
      </c>
    </row>
    <row r="60" spans="1:5" ht="15.5" x14ac:dyDescent="0.35">
      <c r="A60" s="1" t="s">
        <v>15</v>
      </c>
    </row>
    <row r="61" spans="1:5" x14ac:dyDescent="0.35">
      <c r="A61" s="3" t="s">
        <v>14</v>
      </c>
      <c r="B61" s="4">
        <v>10</v>
      </c>
    </row>
    <row r="62" spans="1:5" x14ac:dyDescent="0.35">
      <c r="A62" s="5" t="s">
        <v>13</v>
      </c>
      <c r="B62" s="5" t="s">
        <v>16</v>
      </c>
    </row>
    <row r="63" spans="1:5" x14ac:dyDescent="0.35">
      <c r="A63" s="11">
        <f>B$6</f>
        <v>0.01</v>
      </c>
      <c r="B63" s="9">
        <f>INDEX(B$8:B$56,MATCH($B$61,$A$8:$A$56,0))</f>
        <v>0.18209306240276935</v>
      </c>
    </row>
    <row r="64" spans="1:5" x14ac:dyDescent="0.35">
      <c r="A64" s="11">
        <f>C$6</f>
        <v>0.05</v>
      </c>
      <c r="B64" s="9">
        <f>INDEX(C$8:C$56,MATCH($B$61,$A$8:$A$56,0))</f>
        <v>0.64151407759145784</v>
      </c>
    </row>
    <row r="65" spans="1:2" x14ac:dyDescent="0.35">
      <c r="A65" s="11">
        <f>D$6</f>
        <v>0.1</v>
      </c>
      <c r="B65" s="9">
        <f>INDEX(D$8:D$56,MATCH($B$61,$A$8:$A$56,0))</f>
        <v>0.87842334540943057</v>
      </c>
    </row>
    <row r="66" spans="1:2" x14ac:dyDescent="0.35">
      <c r="A66" s="11">
        <f>E$6</f>
        <v>0.2</v>
      </c>
      <c r="B66" s="9">
        <f>INDEX(E$8:E$56,MATCH($B$61,$A$8:$A$56,0))</f>
        <v>0.98847078495393148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4"/>
  <sheetViews>
    <sheetView zoomScaleNormal="100" workbookViewId="0"/>
  </sheetViews>
  <sheetFormatPr defaultColWidth="8.6328125" defaultRowHeight="14.5" x14ac:dyDescent="0.35"/>
  <cols>
    <col min="1" max="1" width="105" customWidth="1"/>
  </cols>
  <sheetData>
    <row r="1" spans="1:1" ht="15.5" x14ac:dyDescent="0.35">
      <c r="A1" s="1" t="s">
        <v>17</v>
      </c>
    </row>
    <row r="3" spans="1:1" x14ac:dyDescent="0.35">
      <c r="A3" s="3" t="s">
        <v>18</v>
      </c>
    </row>
    <row r="4" spans="1:1" x14ac:dyDescent="0.35">
      <c r="A4" s="7" t="s">
        <v>19</v>
      </c>
    </row>
    <row r="5" spans="1:1" x14ac:dyDescent="0.35">
      <c r="A5" s="7" t="s">
        <v>20</v>
      </c>
    </row>
    <row r="6" spans="1:1" x14ac:dyDescent="0.35">
      <c r="A6" s="7" t="s">
        <v>21</v>
      </c>
    </row>
    <row r="7" spans="1:1" x14ac:dyDescent="0.35">
      <c r="A7" s="7" t="s">
        <v>22</v>
      </c>
    </row>
    <row r="9" spans="1:1" x14ac:dyDescent="0.35">
      <c r="A9" s="3" t="s">
        <v>23</v>
      </c>
    </row>
    <row r="10" spans="1:1" x14ac:dyDescent="0.35">
      <c r="A10" s="7" t="s">
        <v>24</v>
      </c>
    </row>
    <row r="11" spans="1:1" x14ac:dyDescent="0.35">
      <c r="A11" s="7" t="s">
        <v>25</v>
      </c>
    </row>
    <row r="12" spans="1:1" x14ac:dyDescent="0.35">
      <c r="A12" s="7" t="s">
        <v>26</v>
      </c>
    </row>
    <row r="14" spans="1:1" x14ac:dyDescent="0.35">
      <c r="A14" s="3" t="s">
        <v>27</v>
      </c>
    </row>
    <row r="15" spans="1:1" x14ac:dyDescent="0.35">
      <c r="A15" s="7" t="s">
        <v>28</v>
      </c>
    </row>
    <row r="16" spans="1:1" x14ac:dyDescent="0.35">
      <c r="A16" s="7" t="s">
        <v>29</v>
      </c>
    </row>
    <row r="17" spans="1:1" x14ac:dyDescent="0.35">
      <c r="A17" s="7" t="s">
        <v>30</v>
      </c>
    </row>
    <row r="19" spans="1:1" x14ac:dyDescent="0.35">
      <c r="A19" s="3" t="s">
        <v>31</v>
      </c>
    </row>
    <row r="20" spans="1:1" x14ac:dyDescent="0.35">
      <c r="A20" s="7" t="s">
        <v>32</v>
      </c>
    </row>
    <row r="21" spans="1:1" x14ac:dyDescent="0.35">
      <c r="A21" s="7" t="s">
        <v>33</v>
      </c>
    </row>
    <row r="23" spans="1:1" x14ac:dyDescent="0.35">
      <c r="A23" s="7" t="s">
        <v>34</v>
      </c>
    </row>
    <row r="24" spans="1:1" x14ac:dyDescent="0.35">
      <c r="A24" s="7" t="s">
        <v>35</v>
      </c>
    </row>
    <row r="25" spans="1:1" x14ac:dyDescent="0.35">
      <c r="A25" s="7" t="s">
        <v>36</v>
      </c>
    </row>
    <row r="26" spans="1:1" x14ac:dyDescent="0.35">
      <c r="A26" s="7" t="s">
        <v>37</v>
      </c>
    </row>
    <row r="27" spans="1:1" x14ac:dyDescent="0.35">
      <c r="A27" s="7" t="s">
        <v>38</v>
      </c>
    </row>
    <row r="28" spans="1:1" x14ac:dyDescent="0.35">
      <c r="A28" s="7" t="s">
        <v>39</v>
      </c>
    </row>
    <row r="29" spans="1:1" x14ac:dyDescent="0.35">
      <c r="A29" s="7" t="s">
        <v>40</v>
      </c>
    </row>
    <row r="31" spans="1:1" x14ac:dyDescent="0.35">
      <c r="A31" s="7" t="s">
        <v>41</v>
      </c>
    </row>
    <row r="32" spans="1:1" x14ac:dyDescent="0.35">
      <c r="A32" s="7" t="s">
        <v>42</v>
      </c>
    </row>
    <row r="34" spans="1:1" x14ac:dyDescent="0.35">
      <c r="A34" s="2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 A - drift</vt:lpstr>
      <vt:lpstr>Panel B - bottleneck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William Wallisch</cp:lastModifiedBy>
  <cp:revision>0</cp:revision>
  <dcterms:created xsi:type="dcterms:W3CDTF">2026-09-13T15:06:01Z</dcterms:created>
  <dcterms:modified xsi:type="dcterms:W3CDTF">2026-09-13T16:52:22Z</dcterms:modified>
  <dc:language>en-US</dc:language>
</cp:coreProperties>
</file>